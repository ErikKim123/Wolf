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대시보드" sheetId="1" state="visible" r:id="rId3"/>
    <sheet name="회원관리" sheetId="2" state="visible" r:id="rId4"/>
    <sheet name="카테고리관리" sheetId="3" state="visible" r:id="rId5"/>
    <sheet name="상품관리" sheetId="4" state="visible" r:id="rId6"/>
    <sheet name="파트너상품등록" sheetId="5" state="visible" r:id="rId7"/>
    <sheet name="주문관리" sheetId="6" state="visible" r:id="rId8"/>
    <sheet name="배송관리" sheetId="7" state="visible" r:id="rId9"/>
    <sheet name="파트너관리" sheetId="8" state="visible" r:id="rId10"/>
    <sheet name="게시판관리" sheetId="9" state="visible" r:id="rId11"/>
    <sheet name="배너관리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<sst xmlns="http://schemas.openxmlformats.org/spreadsheetml/2006/main" count="476" uniqueCount="351">
  <si>
    <t xml:space="preserve">🛒 쇼핑몰 운영 대시보드</t>
  </si>
  <si>
    <t xml:space="preserve">아래 카드는 각 시트 데이터에서 자동 집계됩니다</t>
  </si>
  <si>
    <t xml:space="preserve">총 회원수</t>
  </si>
  <si>
    <t xml:space="preserve">활성 회원</t>
  </si>
  <si>
    <t xml:space="preserve">등록 상품수</t>
  </si>
  <si>
    <t xml:space="preserve">발주필요 상품</t>
  </si>
  <si>
    <t xml:space="preserve">총 주문건수</t>
  </si>
  <si>
    <t xml:space="preserve">총 매출액</t>
  </si>
  <si>
    <t xml:space="preserve">미답변 문의</t>
  </si>
  <si>
    <t xml:space="preserve">거래 파트너</t>
  </si>
  <si>
    <t xml:space="preserve">파트너 승인대기</t>
  </si>
  <si>
    <t xml:space="preserve">배송중</t>
  </si>
  <si>
    <t xml:space="preserve">노출중 배너</t>
  </si>
  <si>
    <t xml:space="preserve">노출 카테고리</t>
  </si>
  <si>
    <t xml:space="preserve">📌 사용 안내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</si>
  <si>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주문관리에 </t>
    </r>
    <r>
      <rPr>
        <sz val="10"/>
        <rFont val="맑은 고딕"/>
        <family val="0"/>
        <charset val="1"/>
      </rPr>
      <t xml:space="preserve">[</t>
    </r>
    <r>
      <rPr>
        <sz val="10"/>
        <rFont val="Noto Sans CJK SC"/>
        <family val="2"/>
      </rPr>
      <t xml:space="preserve">회원</t>
    </r>
    <r>
      <rPr>
        <sz val="10"/>
        <rFont val="맑은 고딕"/>
        <family val="0"/>
        <charset val="1"/>
      </rPr>
      <t xml:space="preserve">ID]</t>
    </r>
    <r>
      <rPr>
        <sz val="10"/>
        <rFont val="Noto Sans CJK SC"/>
        <family val="2"/>
      </rPr>
      <t xml:space="preserve">와 </t>
    </r>
    <r>
      <rPr>
        <sz val="10"/>
        <rFont val="맑은 고딕"/>
        <family val="0"/>
        <charset val="1"/>
      </rPr>
      <t xml:space="preserve">[</t>
    </r>
    <r>
      <rPr>
        <sz val="10"/>
        <rFont val="Noto Sans CJK SC"/>
        <family val="2"/>
      </rPr>
      <t xml:space="preserve">상품코드</t>
    </r>
    <r>
      <rPr>
        <sz val="10"/>
        <rFont val="맑은 고딕"/>
        <family val="0"/>
        <charset val="1"/>
      </rPr>
      <t xml:space="preserve">]</t>
    </r>
    <r>
      <rPr>
        <sz val="10"/>
        <rFont val="Noto Sans CJK SC"/>
        <family val="2"/>
      </rPr>
      <t xml:space="preserve">만 입력하면 주문자명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상품명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단가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파트너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금액이 자동 입력됩니다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</si>
  <si>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회원의 누적구매액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주문수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상품의 누적판매수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파트너의 누적공급액은 모두 자동 집계됩니다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</si>
  <si>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3) </t>
    </r>
    <r>
      <rPr>
        <sz val="10"/>
        <rFont val="Noto Sans CJK SC"/>
        <family val="2"/>
      </rPr>
      <t xml:space="preserve">파트너는 </t>
    </r>
    <r>
      <rPr>
        <sz val="10"/>
        <rFont val="맑은 고딕"/>
        <family val="0"/>
        <charset val="1"/>
      </rPr>
      <t xml:space="preserve">[</t>
    </r>
    <r>
      <rPr>
        <sz val="10"/>
        <rFont val="Noto Sans CJK SC"/>
        <family val="2"/>
      </rPr>
      <t xml:space="preserve">파트너상품등록</t>
    </r>
    <r>
      <rPr>
        <sz val="10"/>
        <rFont val="맑은 고딕"/>
        <family val="0"/>
        <charset val="1"/>
      </rPr>
      <t xml:space="preserve">] </t>
    </r>
    <r>
      <rPr>
        <sz val="10"/>
        <rFont val="Noto Sans CJK SC"/>
        <family val="2"/>
      </rPr>
      <t xml:space="preserve">시트에 자기 상품을 올리고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관리자가 승인상태를 검토중→승인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반려로 처리합니다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</si>
  <si>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4) </t>
    </r>
    <r>
      <rPr>
        <sz val="10"/>
        <rFont val="Noto Sans CJK SC"/>
        <family val="2"/>
      </rPr>
      <t xml:space="preserve">승인된 상품은 </t>
    </r>
    <r>
      <rPr>
        <sz val="10"/>
        <rFont val="맑은 고딕"/>
        <family val="0"/>
        <charset val="1"/>
      </rPr>
      <t xml:space="preserve">[</t>
    </r>
    <r>
      <rPr>
        <sz val="10"/>
        <rFont val="Noto Sans CJK SC"/>
        <family val="2"/>
      </rPr>
      <t xml:space="preserve">상품관리</t>
    </r>
    <r>
      <rPr>
        <sz val="10"/>
        <rFont val="맑은 고딕"/>
        <family val="0"/>
        <charset val="1"/>
      </rPr>
      <t xml:space="preserve">] </t>
    </r>
    <r>
      <rPr>
        <sz val="10"/>
        <rFont val="Noto Sans CJK SC"/>
        <family val="2"/>
      </rPr>
      <t xml:space="preserve">시트에 옮겨 정식 등록하세요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승인</t>
    </r>
    <r>
      <rPr>
        <sz val="10"/>
        <rFont val="맑은 고딕"/>
        <family val="0"/>
        <charset val="1"/>
      </rPr>
      <t xml:space="preserve">=</t>
    </r>
    <r>
      <rPr>
        <sz val="10"/>
        <rFont val="Noto Sans CJK SC"/>
        <family val="2"/>
      </rPr>
      <t xml:space="preserve">판매 시작</t>
    </r>
    <r>
      <rPr>
        <sz val="10"/>
        <rFont val="맑은 고딕"/>
        <family val="0"/>
        <charset val="1"/>
      </rPr>
      <t xml:space="preserve">).</t>
    </r>
  </si>
  <si>
    <r>
      <rPr>
        <sz val="10"/>
        <rFont val="맑은 고딕"/>
        <family val="0"/>
        <charset val="1"/>
      </rPr>
      <t xml:space="preserve">5) </t>
    </r>
    <r>
      <rPr>
        <sz val="10"/>
        <rFont val="Noto Sans CJK SC"/>
        <family val="2"/>
      </rPr>
      <t xml:space="preserve">녹색 글씨 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파트너명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마진율 등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은 자동 계산 항목이니 직접 입력하지 마세요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</si>
  <si>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6) </t>
    </r>
    <r>
      <rPr>
        <sz val="10"/>
        <rFont val="Noto Sans CJK SC"/>
        <family val="2"/>
      </rPr>
      <t xml:space="preserve">등급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승인상태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결제수단 등은 셀 클릭 시 드롭다운에서 선택합니다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</si>
  <si>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7) </t>
    </r>
    <r>
      <rPr>
        <sz val="10"/>
        <rFont val="Noto Sans CJK SC"/>
        <family val="2"/>
      </rPr>
      <t xml:space="preserve">구글 시트 업로드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드라이브 → 파일 업로드 →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구글 시트로 열기</t>
    </r>
    <r>
      <rPr>
        <sz val="10"/>
        <rFont val="맑은 고딕"/>
        <family val="0"/>
        <charset val="1"/>
      </rPr>
      <t xml:space="preserve">'.</t>
    </r>
  </si>
  <si>
    <t xml:space="preserve">👤 회원관리</t>
  </si>
  <si>
    <t xml:space="preserve">회원 기본정보 · 누적구매액/주문수는 주문관리에서 자동 집계됩니다</t>
  </si>
  <si>
    <t xml:space="preserve">회원ID</t>
  </si>
  <si>
    <t xml:space="preserve">가입일</t>
  </si>
  <si>
    <t xml:space="preserve">이름</t>
  </si>
  <si>
    <t xml:space="preserve">이메일</t>
  </si>
  <si>
    <t xml:space="preserve">연락처</t>
  </si>
  <si>
    <t xml:space="preserve">주소</t>
  </si>
  <si>
    <t xml:space="preserve">등급</t>
  </si>
  <si>
    <t xml:space="preserve">누적구매액</t>
  </si>
  <si>
    <t xml:space="preserve">누적주문수</t>
  </si>
  <si>
    <t xml:space="preserve">보유적립금</t>
  </si>
  <si>
    <t xml:space="preserve">마케팅수신</t>
  </si>
  <si>
    <t xml:space="preserve">상태</t>
  </si>
  <si>
    <t xml:space="preserve">메모</t>
  </si>
  <si>
    <t xml:space="preserve">M0001</t>
  </si>
  <si>
    <t xml:space="preserve">2025-01-15</t>
  </si>
  <si>
    <t xml:space="preserve">김민수</t>
  </si>
  <si>
    <t xml:space="preserve">minsu@example.com</t>
  </si>
  <si>
    <t xml:space="preserve">010-1234-5678</t>
  </si>
  <si>
    <t xml:space="preserve">서울시 강남구</t>
  </si>
  <si>
    <t xml:space="preserve">VIP</t>
  </si>
  <si>
    <t xml:space="preserve">동의</t>
  </si>
  <si>
    <t xml:space="preserve">활성</t>
  </si>
  <si>
    <t xml:space="preserve">단골고객</t>
  </si>
  <si>
    <t xml:space="preserve">M0002</t>
  </si>
  <si>
    <t xml:space="preserve">2025-02-03</t>
  </si>
  <si>
    <t xml:space="preserve">이서연</t>
  </si>
  <si>
    <t xml:space="preserve">seoyeon@example.com</t>
  </si>
  <si>
    <t xml:space="preserve">010-2345-6789</t>
  </si>
  <si>
    <t xml:space="preserve">경기도 성남시</t>
  </si>
  <si>
    <t xml:space="preserve">우수</t>
  </si>
  <si>
    <t xml:space="preserve">M0003</t>
  </si>
  <si>
    <t xml:space="preserve">2025-02-20</t>
  </si>
  <si>
    <t xml:space="preserve">박지훈</t>
  </si>
  <si>
    <t xml:space="preserve">jihoon@example.com</t>
  </si>
  <si>
    <t xml:space="preserve">010-3456-7890</t>
  </si>
  <si>
    <t xml:space="preserve">부산시 해운대구</t>
  </si>
  <si>
    <t xml:space="preserve">일반</t>
  </si>
  <si>
    <t xml:space="preserve">미동의</t>
  </si>
  <si>
    <t xml:space="preserve">M0004</t>
  </si>
  <si>
    <t xml:space="preserve">2025-03-11</t>
  </si>
  <si>
    <t xml:space="preserve">최유진</t>
  </si>
  <si>
    <t xml:space="preserve">yujin@example.com</t>
  </si>
  <si>
    <t xml:space="preserve">010-4567-8901</t>
  </si>
  <si>
    <t xml:space="preserve">인천시 연수구</t>
  </si>
  <si>
    <t xml:space="preserve">휴면</t>
  </si>
  <si>
    <t xml:space="preserve">M0005</t>
  </si>
  <si>
    <t xml:space="preserve">2025-03-28</t>
  </si>
  <si>
    <t xml:space="preserve">정도현</t>
  </si>
  <si>
    <t xml:space="preserve">dohyun@example.com</t>
  </si>
  <si>
    <t xml:space="preserve">010-5678-9012</t>
  </si>
  <si>
    <t xml:space="preserve">대구시 수성구</t>
  </si>
  <si>
    <t xml:space="preserve">🗂️ 카테고리관리</t>
  </si>
  <si>
    <r>
      <rPr>
        <sz val="9"/>
        <color rgb="FF808080"/>
        <rFont val="Noto Sans CJK SC"/>
        <family val="2"/>
      </rPr>
      <t xml:space="preserve">대분류</t>
    </r>
    <r>
      <rPr>
        <sz val="9"/>
        <color rgb="FF808080"/>
        <rFont val="맑은 고딕"/>
        <family val="0"/>
        <charset val="1"/>
      </rPr>
      <t xml:space="preserve">·</t>
    </r>
    <r>
      <rPr>
        <sz val="9"/>
        <color rgb="FF808080"/>
        <rFont val="Noto Sans CJK SC"/>
        <family val="2"/>
      </rPr>
      <t xml:space="preserve">중분류 </t>
    </r>
    <r>
      <rPr>
        <sz val="9"/>
        <color rgb="FF808080"/>
        <rFont val="맑은 고딕"/>
        <family val="0"/>
        <charset val="1"/>
      </rPr>
      <t xml:space="preserve">2</t>
    </r>
    <r>
      <rPr>
        <sz val="9"/>
        <color rgb="FF808080"/>
        <rFont val="Noto Sans CJK SC"/>
        <family val="2"/>
      </rPr>
      <t xml:space="preserve">단계 </t>
    </r>
    <r>
      <rPr>
        <sz val="9"/>
        <color rgb="FF808080"/>
        <rFont val="맑은 고딕"/>
        <family val="0"/>
        <charset val="1"/>
      </rPr>
      <t xml:space="preserve">/ </t>
    </r>
    <r>
      <rPr>
        <sz val="9"/>
        <color rgb="FF808080"/>
        <rFont val="Noto Sans CJK SC"/>
        <family val="2"/>
      </rPr>
      <t xml:space="preserve">등록상품수는 상품관리에서 대분류 기준 자동 집계 </t>
    </r>
    <r>
      <rPr>
        <sz val="9"/>
        <color rgb="FF808080"/>
        <rFont val="맑은 고딕"/>
        <family val="0"/>
        <charset val="1"/>
      </rPr>
      <t xml:space="preserve">/ </t>
    </r>
    <r>
      <rPr>
        <sz val="9"/>
        <color rgb="FF808080"/>
        <rFont val="Noto Sans CJK SC"/>
        <family val="2"/>
      </rPr>
      <t xml:space="preserve">대분류명은 상품관리 카테고리와 일치시키세요</t>
    </r>
  </si>
  <si>
    <t xml:space="preserve">카테고리코드</t>
  </si>
  <si>
    <t xml:space="preserve">대분류</t>
  </si>
  <si>
    <t xml:space="preserve">중분류</t>
  </si>
  <si>
    <t xml:space="preserve">노출순서</t>
  </si>
  <si>
    <t xml:space="preserve">노출여부</t>
  </si>
  <si>
    <t xml:space="preserve">등록상품수</t>
  </si>
  <si>
    <r>
      <rPr>
        <b val="true"/>
        <sz val="10"/>
        <color rgb="FFFFFFFF"/>
        <rFont val="Noto Sans CJK SC"/>
        <family val="2"/>
      </rPr>
      <t xml:space="preserve">아이콘</t>
    </r>
    <r>
      <rPr>
        <b val="true"/>
        <sz val="10"/>
        <color rgb="FFFFFFFF"/>
        <rFont val="맑은 고딕"/>
        <family val="0"/>
        <charset val="1"/>
      </rPr>
      <t xml:space="preserve">URL</t>
    </r>
  </si>
  <si>
    <t xml:space="preserve">C01</t>
  </si>
  <si>
    <t xml:space="preserve">의류</t>
  </si>
  <si>
    <t xml:space="preserve">노출</t>
  </si>
  <si>
    <r>
      <rPr>
        <sz val="10"/>
        <rFont val="맑은 고딕"/>
        <family val="0"/>
        <charset val="1"/>
      </rPr>
      <t xml:space="preserve">https://</t>
    </r>
    <r>
      <rPr>
        <sz val="10"/>
        <rFont val="Noto Sans CJK SC"/>
        <family val="2"/>
      </rPr>
      <t xml:space="preserve">스토리지</t>
    </r>
    <r>
      <rPr>
        <sz val="10"/>
        <rFont val="맑은 고딕"/>
        <family val="0"/>
        <charset val="1"/>
      </rPr>
      <t xml:space="preserve">URL/ic_cloth.svg</t>
    </r>
  </si>
  <si>
    <t xml:space="preserve">상품 최다 카테고리</t>
  </si>
  <si>
    <t xml:space="preserve">C0101</t>
  </si>
  <si>
    <t xml:space="preserve">상의</t>
  </si>
  <si>
    <t xml:space="preserve">C0102</t>
  </si>
  <si>
    <t xml:space="preserve">하의</t>
  </si>
  <si>
    <t xml:space="preserve">C0103</t>
  </si>
  <si>
    <t xml:space="preserve">아우터</t>
  </si>
  <si>
    <t xml:space="preserve">C02</t>
  </si>
  <si>
    <t xml:space="preserve">잡화</t>
  </si>
  <si>
    <r>
      <rPr>
        <sz val="10"/>
        <rFont val="맑은 고딕"/>
        <family val="0"/>
        <charset val="1"/>
      </rPr>
      <t xml:space="preserve">https://</t>
    </r>
    <r>
      <rPr>
        <sz val="10"/>
        <rFont val="Noto Sans CJK SC"/>
        <family val="2"/>
      </rPr>
      <t xml:space="preserve">스토리지</t>
    </r>
    <r>
      <rPr>
        <sz val="10"/>
        <rFont val="맑은 고딕"/>
        <family val="0"/>
        <charset val="1"/>
      </rPr>
      <t xml:space="preserve">URL/ic_bag.svg</t>
    </r>
  </si>
  <si>
    <t xml:space="preserve">C0201</t>
  </si>
  <si>
    <t xml:space="preserve">가방</t>
  </si>
  <si>
    <t xml:space="preserve">C0202</t>
  </si>
  <si>
    <t xml:space="preserve">모자</t>
  </si>
  <si>
    <t xml:space="preserve">C03</t>
  </si>
  <si>
    <t xml:space="preserve">전자</t>
  </si>
  <si>
    <r>
      <rPr>
        <sz val="10"/>
        <rFont val="맑은 고딕"/>
        <family val="0"/>
        <charset val="1"/>
      </rPr>
      <t xml:space="preserve">https://</t>
    </r>
    <r>
      <rPr>
        <sz val="10"/>
        <rFont val="Noto Sans CJK SC"/>
        <family val="2"/>
      </rPr>
      <t xml:space="preserve">스토리지</t>
    </r>
    <r>
      <rPr>
        <sz val="10"/>
        <rFont val="맑은 고딕"/>
        <family val="0"/>
        <charset val="1"/>
      </rPr>
      <t xml:space="preserve">URL/ic_tech.svg</t>
    </r>
  </si>
  <si>
    <t xml:space="preserve">C04</t>
  </si>
  <si>
    <t xml:space="preserve">뷰티</t>
  </si>
  <si>
    <r>
      <rPr>
        <sz val="10"/>
        <rFont val="맑은 고딕"/>
        <family val="0"/>
        <charset val="1"/>
      </rPr>
      <t xml:space="preserve">https://</t>
    </r>
    <r>
      <rPr>
        <sz val="10"/>
        <rFont val="Noto Sans CJK SC"/>
        <family val="2"/>
      </rPr>
      <t xml:space="preserve">스토리지</t>
    </r>
    <r>
      <rPr>
        <sz val="10"/>
        <rFont val="맑은 고딕"/>
        <family val="0"/>
        <charset val="1"/>
      </rPr>
      <t xml:space="preserve">URL/ic_beauty.svg</t>
    </r>
  </si>
  <si>
    <t xml:space="preserve">C05</t>
  </si>
  <si>
    <t xml:space="preserve">식품</t>
  </si>
  <si>
    <t xml:space="preserve">숨김</t>
  </si>
  <si>
    <r>
      <rPr>
        <sz val="10"/>
        <rFont val="맑은 고딕"/>
        <family val="0"/>
        <charset val="1"/>
      </rPr>
      <t xml:space="preserve">https://</t>
    </r>
    <r>
      <rPr>
        <sz val="10"/>
        <rFont val="Noto Sans CJK SC"/>
        <family val="2"/>
      </rPr>
      <t xml:space="preserve">스토리지</t>
    </r>
    <r>
      <rPr>
        <sz val="10"/>
        <rFont val="맑은 고딕"/>
        <family val="0"/>
        <charset val="1"/>
      </rPr>
      <t xml:space="preserve">URL/ic_food.svg</t>
    </r>
  </si>
  <si>
    <t xml:space="preserve">오픈 예정</t>
  </si>
  <si>
    <t xml:space="preserve">C06</t>
  </si>
  <si>
    <t xml:space="preserve">기타</t>
  </si>
  <si>
    <t xml:space="preserve">📦 상품관리</t>
  </si>
  <si>
    <t xml:space="preserve">마진율·재고알림 자동 / 누적판매수는 주문관리에서 집계 / 공급파트너는 파트너관리와 연동</t>
  </si>
  <si>
    <t xml:space="preserve">상품코드</t>
  </si>
  <si>
    <t xml:space="preserve">카테고리</t>
  </si>
  <si>
    <t xml:space="preserve">상품명</t>
  </si>
  <si>
    <t xml:space="preserve">옵션</t>
  </si>
  <si>
    <t xml:space="preserve">공급가</t>
  </si>
  <si>
    <t xml:space="preserve">판매가</t>
  </si>
  <si>
    <t xml:space="preserve">마진율</t>
  </si>
  <si>
    <t xml:space="preserve">재고수량</t>
  </si>
  <si>
    <t xml:space="preserve">안전재고</t>
  </si>
  <si>
    <t xml:space="preserve">재고알림</t>
  </si>
  <si>
    <t xml:space="preserve">공급파트너</t>
  </si>
  <si>
    <t xml:space="preserve">등록일</t>
  </si>
  <si>
    <t xml:space="preserve">진열상태</t>
  </si>
  <si>
    <t xml:space="preserve">누적판매수</t>
  </si>
  <si>
    <t xml:space="preserve">P001</t>
  </si>
  <si>
    <t xml:space="preserve">베이직 코튼 티셔츠</t>
  </si>
  <si>
    <t xml:space="preserve">화이트/M</t>
  </si>
  <si>
    <t xml:space="preserve">PT01</t>
  </si>
  <si>
    <t xml:space="preserve">2025-01-10</t>
  </si>
  <si>
    <t xml:space="preserve">진열</t>
  </si>
  <si>
    <t xml:space="preserve">P002</t>
  </si>
  <si>
    <t xml:space="preserve">오버핏 후드집업</t>
  </si>
  <si>
    <t xml:space="preserve">블랙/L</t>
  </si>
  <si>
    <t xml:space="preserve">2025-01-12</t>
  </si>
  <si>
    <t xml:space="preserve">P003</t>
  </si>
  <si>
    <t xml:space="preserve">캔버스 에코백</t>
  </si>
  <si>
    <t xml:space="preserve">베이지</t>
  </si>
  <si>
    <t xml:space="preserve">PT02</t>
  </si>
  <si>
    <t xml:space="preserve">2025-02-01</t>
  </si>
  <si>
    <t xml:space="preserve">P004</t>
  </si>
  <si>
    <t xml:space="preserve">무선 블루투스 이어폰</t>
  </si>
  <si>
    <t xml:space="preserve">-</t>
  </si>
  <si>
    <t xml:space="preserve">PT03</t>
  </si>
  <si>
    <t xml:space="preserve">2025-02-15</t>
  </si>
  <si>
    <t xml:space="preserve">P005</t>
  </si>
  <si>
    <t xml:space="preserve">수분 진정 토너</t>
  </si>
  <si>
    <t xml:space="preserve">200ml</t>
  </si>
  <si>
    <t xml:space="preserve">2025-03-05</t>
  </si>
  <si>
    <t xml:space="preserve">품절</t>
  </si>
  <si>
    <t xml:space="preserve">🏷️ 파트너 상품등록</t>
  </si>
  <si>
    <t xml:space="preserve">파트너가 직접 상품을 등록 → 관리자가 승인/반려 / 파트너명·마진율 자동 / 승인된 상품을 상품관리로 옮기세요</t>
  </si>
  <si>
    <t xml:space="preserve">파트너코드</t>
  </si>
  <si>
    <t xml:space="preserve">파트너명</t>
  </si>
  <si>
    <t xml:space="preserve">희망판매가</t>
  </si>
  <si>
    <t xml:space="preserve">예상마진율</t>
  </si>
  <si>
    <t xml:space="preserve">이미지URL</t>
  </si>
  <si>
    <t xml:space="preserve">상품설명</t>
  </si>
  <si>
    <t xml:space="preserve">승인상태</t>
  </si>
  <si>
    <t xml:space="preserve">관리자메모</t>
  </si>
  <si>
    <t xml:space="preserve">승인일</t>
  </si>
  <si>
    <t xml:space="preserve">2025-04-02</t>
  </si>
  <si>
    <t xml:space="preserve">린넨 셔츠</t>
  </si>
  <si>
    <t xml:space="preserve">라이트블루/L</t>
  </si>
  <si>
    <r>
      <rPr>
        <sz val="10"/>
        <rFont val="맑은 고딕"/>
        <family val="0"/>
        <charset val="1"/>
      </rPr>
      <t xml:space="preserve">https://</t>
    </r>
    <r>
      <rPr>
        <sz val="10"/>
        <rFont val="Noto Sans CJK SC"/>
        <family val="2"/>
      </rPr>
      <t xml:space="preserve">스토리지</t>
    </r>
    <r>
      <rPr>
        <sz val="10"/>
        <rFont val="맑은 고딕"/>
        <family val="0"/>
        <charset val="1"/>
      </rPr>
      <t xml:space="preserve">URL/p_linen.jpg</t>
    </r>
  </si>
  <si>
    <t xml:space="preserve">여름용 린넨 셔츠, 통기성 우수</t>
  </si>
  <si>
    <t xml:space="preserve">검토중</t>
  </si>
  <si>
    <t xml:space="preserve">2025-04-05</t>
  </si>
  <si>
    <t xml:space="preserve">수딩 젤 크림</t>
  </si>
  <si>
    <t xml:space="preserve">100ml</t>
  </si>
  <si>
    <r>
      <rPr>
        <sz val="10"/>
        <rFont val="맑은 고딕"/>
        <family val="0"/>
        <charset val="1"/>
      </rPr>
      <t xml:space="preserve">https://</t>
    </r>
    <r>
      <rPr>
        <sz val="10"/>
        <rFont val="Noto Sans CJK SC"/>
        <family val="2"/>
      </rPr>
      <t xml:space="preserve">스토리지</t>
    </r>
    <r>
      <rPr>
        <sz val="10"/>
        <rFont val="맑은 고딕"/>
        <family val="0"/>
        <charset val="1"/>
      </rPr>
      <t xml:space="preserve">URL/p_gel.jpg</t>
    </r>
  </si>
  <si>
    <t xml:space="preserve">알로에 수딩 젤, 민감성 피부용</t>
  </si>
  <si>
    <t xml:space="preserve">승인</t>
  </si>
  <si>
    <t xml:space="preserve">상품관리 P006으로 등록완료</t>
  </si>
  <si>
    <t xml:space="preserve">2025-04-06</t>
  </si>
  <si>
    <t xml:space="preserve">2025-04-08</t>
  </si>
  <si>
    <r>
      <rPr>
        <sz val="10"/>
        <rFont val="맑은 고딕"/>
        <family val="0"/>
        <charset val="1"/>
      </rPr>
      <t xml:space="preserve">USB-C </t>
    </r>
    <r>
      <rPr>
        <sz val="10"/>
        <rFont val="Noto Sans CJK SC"/>
        <family val="2"/>
      </rPr>
      <t xml:space="preserve">고속충전기</t>
    </r>
  </si>
  <si>
    <t xml:space="preserve">30W</t>
  </si>
  <si>
    <r>
      <rPr>
        <sz val="10"/>
        <rFont val="맑은 고딕"/>
        <family val="0"/>
        <charset val="1"/>
      </rPr>
      <t xml:space="preserve">https://</t>
    </r>
    <r>
      <rPr>
        <sz val="10"/>
        <rFont val="Noto Sans CJK SC"/>
        <family val="2"/>
      </rPr>
      <t xml:space="preserve">스토리지</t>
    </r>
    <r>
      <rPr>
        <sz val="10"/>
        <rFont val="맑은 고딕"/>
        <family val="0"/>
        <charset val="1"/>
      </rPr>
      <t xml:space="preserve">URL/p_charger.jpg</t>
    </r>
  </si>
  <si>
    <r>
      <rPr>
        <sz val="10"/>
        <rFont val="맑은 고딕"/>
        <family val="0"/>
        <charset val="1"/>
      </rPr>
      <t xml:space="preserve">30W PD </t>
    </r>
    <r>
      <rPr>
        <sz val="10"/>
        <rFont val="Noto Sans CJK SC"/>
        <family val="2"/>
      </rPr>
      <t xml:space="preserve">고속충전 지원</t>
    </r>
  </si>
  <si>
    <t xml:space="preserve">반려</t>
  </si>
  <si>
    <t xml:space="preserve">사진 화질 보완 후 재등록 요청</t>
  </si>
  <si>
    <t xml:space="preserve">🧾 주문관리</t>
  </si>
  <si>
    <t xml:space="preserve">회원ID·상품코드 입력 시 주문자명/상품명/단가/파트너 자동 입력 · 금액 자동 계산</t>
  </si>
  <si>
    <t xml:space="preserve">주문번호</t>
  </si>
  <si>
    <t xml:space="preserve">주문일</t>
  </si>
  <si>
    <t xml:space="preserve">주문자명</t>
  </si>
  <si>
    <t xml:space="preserve">수량</t>
  </si>
  <si>
    <t xml:space="preserve">단가</t>
  </si>
  <si>
    <t xml:space="preserve">주문금액</t>
  </si>
  <si>
    <t xml:space="preserve">배송비</t>
  </si>
  <si>
    <t xml:space="preserve">결제금액</t>
  </si>
  <si>
    <t xml:space="preserve">결제수단</t>
  </si>
  <si>
    <t xml:space="preserve">배송상태</t>
  </si>
  <si>
    <t xml:space="preserve">송장번호</t>
  </si>
  <si>
    <t xml:space="preserve">파트너</t>
  </si>
  <si>
    <t xml:space="preserve">O20250115-01</t>
  </si>
  <si>
    <t xml:space="preserve">카드</t>
  </si>
  <si>
    <t xml:space="preserve">O20250203-01</t>
  </si>
  <si>
    <t xml:space="preserve">O20250220-01</t>
  </si>
  <si>
    <t xml:space="preserve">계좌이체</t>
  </si>
  <si>
    <t xml:space="preserve">O20250311-01</t>
  </si>
  <si>
    <t xml:space="preserve">무료배송</t>
  </si>
  <si>
    <t xml:space="preserve">O20250328-01</t>
  </si>
  <si>
    <t xml:space="preserve">간편결제</t>
  </si>
  <si>
    <t xml:space="preserve">🚚 배송관리</t>
  </si>
  <si>
    <t xml:space="preserve">주문번호만 넣으면 주문자명·상품명·수량 자동 / 송장·배송상태는 직접 관리</t>
  </si>
  <si>
    <t xml:space="preserve">택배사</t>
  </si>
  <si>
    <t xml:space="preserve">발송일</t>
  </si>
  <si>
    <t xml:space="preserve">도착예정일</t>
  </si>
  <si>
    <t xml:space="preserve">배송메모</t>
  </si>
  <si>
    <t xml:space="preserve">비고</t>
  </si>
  <si>
    <r>
      <rPr>
        <sz val="10"/>
        <rFont val="맑은 고딕"/>
        <family val="0"/>
        <charset val="1"/>
      </rPr>
      <t xml:space="preserve">CJ</t>
    </r>
    <r>
      <rPr>
        <sz val="10"/>
        <rFont val="Noto Sans CJK SC"/>
        <family val="2"/>
      </rPr>
      <t xml:space="preserve">대한통운</t>
    </r>
  </si>
  <si>
    <t xml:space="preserve">1234-5678-9012</t>
  </si>
  <si>
    <t xml:space="preserve">2025-01-16</t>
  </si>
  <si>
    <t xml:space="preserve">2025-01-18</t>
  </si>
  <si>
    <t xml:space="preserve">배송완료</t>
  </si>
  <si>
    <t xml:space="preserve">부재시 경비실</t>
  </si>
  <si>
    <t xml:space="preserve">한진택배</t>
  </si>
  <si>
    <t xml:space="preserve">2345-6789-0123</t>
  </si>
  <si>
    <t xml:space="preserve">2025-02-04</t>
  </si>
  <si>
    <t xml:space="preserve">2025-02-06</t>
  </si>
  <si>
    <t xml:space="preserve">롯데택배</t>
  </si>
  <si>
    <t xml:space="preserve">3456-7890-1234</t>
  </si>
  <si>
    <t xml:space="preserve">2025-02-21</t>
  </si>
  <si>
    <t xml:space="preserve">2025-02-23</t>
  </si>
  <si>
    <t xml:space="preserve">집화완료</t>
  </si>
  <si>
    <t xml:space="preserve">문앞에 놔주세요</t>
  </si>
  <si>
    <t xml:space="preserve">우체국택배</t>
  </si>
  <si>
    <t xml:space="preserve">상품준비중</t>
  </si>
  <si>
    <t xml:space="preserve">🤝 파트너관리</t>
  </si>
  <si>
    <t xml:space="preserve">공급사·제휴사·물류 관리 / 누적공급액은 주문관리에서 자동 집계</t>
  </si>
  <si>
    <t xml:space="preserve">담당자</t>
  </si>
  <si>
    <t xml:space="preserve">구분</t>
  </si>
  <si>
    <t xml:space="preserve">정산방식</t>
  </si>
  <si>
    <t xml:space="preserve">수수료율</t>
  </si>
  <si>
    <t xml:space="preserve">계약일</t>
  </si>
  <si>
    <t xml:space="preserve">누적공급액</t>
  </si>
  <si>
    <t xml:space="preserve">대한의류</t>
  </si>
  <si>
    <t xml:space="preserve">김대표</t>
  </si>
  <si>
    <t xml:space="preserve">02-111-2222</t>
  </si>
  <si>
    <t xml:space="preserve">apparel@ptn.com</t>
  </si>
  <si>
    <t xml:space="preserve">공급사</t>
  </si>
  <si>
    <t xml:space="preserve">월정산</t>
  </si>
  <si>
    <t xml:space="preserve">2024-12-01</t>
  </si>
  <si>
    <t xml:space="preserve">정상</t>
  </si>
  <si>
    <t xml:space="preserve">뷰티앤백</t>
  </si>
  <si>
    <t xml:space="preserve">이실장</t>
  </si>
  <si>
    <t xml:space="preserve">02-333-4444</t>
  </si>
  <si>
    <t xml:space="preserve">beauty@ptn.com</t>
  </si>
  <si>
    <t xml:space="preserve">주정산</t>
  </si>
  <si>
    <t xml:space="preserve">2025-01-05</t>
  </si>
  <si>
    <t xml:space="preserve">테크원</t>
  </si>
  <si>
    <t xml:space="preserve">박과장</t>
  </si>
  <si>
    <t xml:space="preserve">02-555-6666</t>
  </si>
  <si>
    <t xml:space="preserve">tech@ptn.com</t>
  </si>
  <si>
    <t xml:space="preserve">2025-02-10</t>
  </si>
  <si>
    <t xml:space="preserve">PT04</t>
  </si>
  <si>
    <t xml:space="preserve">빠른배송</t>
  </si>
  <si>
    <t xml:space="preserve">최팀장</t>
  </si>
  <si>
    <t xml:space="preserve">02-777-8888</t>
  </si>
  <si>
    <t xml:space="preserve">logis@ptn.com</t>
  </si>
  <si>
    <t xml:space="preserve">물류</t>
  </si>
  <si>
    <t xml:space="preserve">건별정산</t>
  </si>
  <si>
    <t xml:space="preserve">2024-11-20</t>
  </si>
  <si>
    <t xml:space="preserve">💬 게시판관리</t>
  </si>
  <si>
    <t xml:space="preserve">공지·문의·리뷰·FAQ 통합 관리</t>
  </si>
  <si>
    <t xml:space="preserve">글번호</t>
  </si>
  <si>
    <t xml:space="preserve">작성일</t>
  </si>
  <si>
    <t xml:space="preserve">게시판</t>
  </si>
  <si>
    <t xml:space="preserve">제목</t>
  </si>
  <si>
    <t xml:space="preserve">작성자</t>
  </si>
  <si>
    <t xml:space="preserve">내용요약</t>
  </si>
  <si>
    <t xml:space="preserve">답변상태</t>
  </si>
  <si>
    <t xml:space="preserve">답변자</t>
  </si>
  <si>
    <t xml:space="preserve">답변일</t>
  </si>
  <si>
    <t xml:space="preserve">공개여부</t>
  </si>
  <si>
    <t xml:space="preserve">B0001</t>
  </si>
  <si>
    <t xml:space="preserve">문의</t>
  </si>
  <si>
    <t xml:space="preserve">배송 언제 오나요?</t>
  </si>
  <si>
    <t xml:space="preserve">배송 일정 문의</t>
  </si>
  <si>
    <t xml:space="preserve">답변완료</t>
  </si>
  <si>
    <t xml:space="preserve">관리자</t>
  </si>
  <si>
    <t xml:space="preserve">공개</t>
  </si>
  <si>
    <t xml:space="preserve">B0002</t>
  </si>
  <si>
    <t xml:space="preserve">리뷰</t>
  </si>
  <si>
    <t xml:space="preserve">후드집업 너무 좋아요!</t>
  </si>
  <si>
    <t xml:space="preserve">상품 만족 리뷰</t>
  </si>
  <si>
    <t xml:space="preserve">2025-02-05</t>
  </si>
  <si>
    <t xml:space="preserve">B0003</t>
  </si>
  <si>
    <t xml:space="preserve">사이즈 교환 가능한가요?</t>
  </si>
  <si>
    <t xml:space="preserve">교환 문의</t>
  </si>
  <si>
    <t xml:space="preserve">대기</t>
  </si>
  <si>
    <t xml:space="preserve">비공개</t>
  </si>
  <si>
    <t xml:space="preserve">B0004</t>
  </si>
  <si>
    <t xml:space="preserve">2025-03-01</t>
  </si>
  <si>
    <t xml:space="preserve">공지</t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</si>
  <si>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월 할인 이벤트 안내</t>
    </r>
  </si>
  <si>
    <t xml:space="preserve">전상품 10% 할인</t>
  </si>
  <si>
    <t xml:space="preserve">B0005</t>
  </si>
  <si>
    <t xml:space="preserve">2025-03-12</t>
  </si>
  <si>
    <t xml:space="preserve">FAQ</t>
  </si>
  <si>
    <t xml:space="preserve">무료배송 기준은?</t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</si>
  <si>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만원 이상 무료</t>
    </r>
  </si>
  <si>
    <t xml:space="preserve">🖼️ 배너관리</t>
  </si>
  <si>
    <t xml:space="preserve">시작일·종료일·사용여부에 따라 노출상태 자동 판정(노출중/대기/종료/중지) · 오늘 기준</t>
  </si>
  <si>
    <t xml:space="preserve">배너ID</t>
  </si>
  <si>
    <t xml:space="preserve">노출위치</t>
  </si>
  <si>
    <t xml:space="preserve">연결링크</t>
  </si>
  <si>
    <t xml:space="preserve">시작일</t>
  </si>
  <si>
    <t xml:space="preserve">종료일</t>
  </si>
  <si>
    <t xml:space="preserve">사용여부</t>
  </si>
  <si>
    <t xml:space="preserve">노출상태</t>
  </si>
  <si>
    <t xml:space="preserve">클릭수</t>
  </si>
  <si>
    <t xml:space="preserve">BN01</t>
  </si>
  <si>
    <t xml:space="preserve">메인슬라이드</t>
  </si>
  <si>
    <t xml:space="preserve">여름 시즌 세일</t>
  </si>
  <si>
    <r>
      <rPr>
        <sz val="10"/>
        <rFont val="맑은 고딕"/>
        <family val="0"/>
        <charset val="1"/>
      </rPr>
      <t xml:space="preserve">https://</t>
    </r>
    <r>
      <rPr>
        <sz val="10"/>
        <rFont val="Noto Sans CJK SC"/>
        <family val="2"/>
      </rPr>
      <t xml:space="preserve">스토리지</t>
    </r>
    <r>
      <rPr>
        <sz val="10"/>
        <rFont val="맑은 고딕"/>
        <family val="0"/>
        <charset val="1"/>
      </rPr>
      <t xml:space="preserve">URL/banner_summer.jpg</t>
    </r>
  </si>
  <si>
    <t xml:space="preserve">/event/summer</t>
  </si>
  <si>
    <t xml:space="preserve">Y</t>
  </si>
  <si>
    <t xml:space="preserve">메인 최상단</t>
  </si>
  <si>
    <t xml:space="preserve">BN02</t>
  </si>
  <si>
    <t xml:space="preserve">메인상단</t>
  </si>
  <si>
    <t xml:space="preserve">신규회원 적립금 이벤트</t>
  </si>
  <si>
    <r>
      <rPr>
        <sz val="10"/>
        <rFont val="맑은 고딕"/>
        <family val="0"/>
        <charset val="1"/>
      </rPr>
      <t xml:space="preserve">https://</t>
    </r>
    <r>
      <rPr>
        <sz val="10"/>
        <rFont val="Noto Sans CJK SC"/>
        <family val="2"/>
      </rPr>
      <t xml:space="preserve">스토리지</t>
    </r>
    <r>
      <rPr>
        <sz val="10"/>
        <rFont val="맑은 고딕"/>
        <family val="0"/>
        <charset val="1"/>
      </rPr>
      <t xml:space="preserve">URL/banner_new.jpg</t>
    </r>
  </si>
  <si>
    <t xml:space="preserve">/event/welcome</t>
  </si>
  <si>
    <t xml:space="preserve">BN03</t>
  </si>
  <si>
    <t xml:space="preserve">팝업</t>
  </si>
  <si>
    <t xml:space="preserve">앱 다운로드 안내</t>
  </si>
  <si>
    <r>
      <rPr>
        <sz val="10"/>
        <rFont val="맑은 고딕"/>
        <family val="0"/>
        <charset val="1"/>
      </rPr>
      <t xml:space="preserve">https://</t>
    </r>
    <r>
      <rPr>
        <sz val="10"/>
        <rFont val="Noto Sans CJK SC"/>
        <family val="2"/>
      </rPr>
      <t xml:space="preserve">스토리지</t>
    </r>
    <r>
      <rPr>
        <sz val="10"/>
        <rFont val="맑은 고딕"/>
        <family val="0"/>
        <charset val="1"/>
      </rPr>
      <t xml:space="preserve">URL/banner_app.jpg</t>
    </r>
  </si>
  <si>
    <t xml:space="preserve">/app</t>
  </si>
  <si>
    <t xml:space="preserve">예정 배너</t>
  </si>
  <si>
    <t xml:space="preserve">BN04</t>
  </si>
  <si>
    <t xml:space="preserve">메인중단</t>
  </si>
  <si>
    <t xml:space="preserve">겨울 코트 기획전</t>
  </si>
  <si>
    <r>
      <rPr>
        <sz val="10"/>
        <rFont val="맑은 고딕"/>
        <family val="0"/>
        <charset val="1"/>
      </rPr>
      <t xml:space="preserve">https://</t>
    </r>
    <r>
      <rPr>
        <sz val="10"/>
        <rFont val="Noto Sans CJK SC"/>
        <family val="2"/>
      </rPr>
      <t xml:space="preserve">스토리지</t>
    </r>
    <r>
      <rPr>
        <sz val="10"/>
        <rFont val="맑은 고딕"/>
        <family val="0"/>
        <charset val="1"/>
      </rPr>
      <t xml:space="preserve">URL/banner_winter.jpg</t>
    </r>
  </si>
  <si>
    <t xml:space="preserve">/event/winter</t>
  </si>
  <si>
    <t xml:space="preserve">종료된 배너</t>
  </si>
  <si>
    <t xml:space="preserve">BN05</t>
  </si>
  <si>
    <t xml:space="preserve">카테고리상단</t>
  </si>
  <si>
    <t xml:space="preserve">뷰티 단독 할인</t>
  </si>
  <si>
    <r>
      <rPr>
        <sz val="10"/>
        <rFont val="맑은 고딕"/>
        <family val="0"/>
        <charset val="1"/>
      </rPr>
      <t xml:space="preserve">https://</t>
    </r>
    <r>
      <rPr>
        <sz val="10"/>
        <rFont val="Noto Sans CJK SC"/>
        <family val="2"/>
      </rPr>
      <t xml:space="preserve">스토리지</t>
    </r>
    <r>
      <rPr>
        <sz val="10"/>
        <rFont val="맑은 고딕"/>
        <family val="0"/>
        <charset val="1"/>
      </rPr>
      <t xml:space="preserve">URL/banner_beauty.jpg</t>
    </r>
  </si>
  <si>
    <t xml:space="preserve">/category/beauty</t>
  </si>
  <si>
    <t xml:space="preserve">N</t>
  </si>
  <si>
    <t xml:space="preserve">잠시 중지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</si>
</sst>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#,##0\원"/>
    <numFmt numFmtId="167" formatCode="#,##0"/>
    <numFmt numFmtId="168" formatCode="0.0%"/>
    <numFmt numFmtId="169" formatCode="yyyy\-mm\-dd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F5597"/>
      <name val="Noto Sans CJK SC"/>
      <family val="2"/>
      <charset val="1"/>
    </font>
    <font>
      <sz val="9"/>
      <color rgb="FF808080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b val="true"/>
      <sz val="20"/>
      <color rgb="FF2F5597"/>
      <name val="맑은 고딕"/>
      <family val="0"/>
      <charset val="1"/>
    </font>
    <font>
      <b val="true"/>
      <sz val="11"/>
      <color rgb="FFFFFFFF"/>
      <name val="Noto Sans CJK SC"/>
      <family val="2"/>
    </font>
    <font>
      <b val="true"/>
      <sz val="20"/>
      <color rgb="FFC55A11"/>
      <name val="맑은 고딕"/>
      <family val="0"/>
      <charset val="1"/>
    </font>
    <font>
      <b val="true"/>
      <sz val="20"/>
      <color rgb="FF2E75B6"/>
      <name val="맑은 고딕"/>
      <family val="0"/>
      <charset val="1"/>
    </font>
    <font>
      <b val="true"/>
      <sz val="20"/>
      <color rgb="FF7030A0"/>
      <name val="맑은 고딕"/>
      <family val="0"/>
      <charset val="1"/>
    </font>
    <font>
      <b val="true"/>
      <sz val="20"/>
      <color rgb="FF2E7D6B"/>
      <name val="맑은 고딕"/>
      <family val="0"/>
      <charset val="1"/>
    </font>
    <font>
      <sz val="10"/>
      <name val="맑은 고딕"/>
      <family val="0"/>
      <charset val="1"/>
    </font>
    <font>
      <b val="true"/>
      <sz val="12"/>
      <color rgb="FF2F5597"/>
      <name val="Noto Sans CJK SC"/>
      <family val="2"/>
      <charset val="1"/>
    </font>
    <font>
      <sz val="10"/>
      <name val="Noto Sans CJK SC"/>
      <family val="2"/>
    </font>
    <font>
      <b val="true"/>
      <sz val="14"/>
      <color rgb="FF2F5597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sz val="10"/>
      <name val="Noto Sans CJK SC"/>
      <family val="2"/>
      <charset val="1"/>
    </font>
    <font>
      <sz val="10"/>
      <color rgb="FF008000"/>
      <name val="맑은 고딕"/>
      <family val="0"/>
      <charset val="1"/>
    </font>
    <font>
      <b val="true"/>
      <sz val="14"/>
      <color rgb="FF2E7D6B"/>
      <name val="Noto Sans CJK SC"/>
      <family val="2"/>
    </font>
    <font>
      <sz val="9"/>
      <color rgb="FF808080"/>
      <name val="Noto Sans CJK SC"/>
      <family val="2"/>
    </font>
    <font>
      <sz val="9"/>
      <color rgb="FF808080"/>
      <name val="맑은 고딕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맑은 고딕"/>
      <family val="0"/>
      <charset val="1"/>
    </font>
    <font>
      <b val="true"/>
      <sz val="14"/>
      <color rgb="FFC55A11"/>
      <name val="Noto Sans CJK SC"/>
      <family val="2"/>
      <charset val="1"/>
    </font>
    <font>
      <sz val="10"/>
      <color rgb="FF008000"/>
      <name val="Noto Sans CJK SC"/>
      <family val="2"/>
      <charset val="1"/>
    </font>
    <font>
      <b val="true"/>
      <sz val="14"/>
      <color rgb="FF2E75B6"/>
      <name val="Noto Sans CJK SC"/>
      <family val="2"/>
      <charset val="1"/>
    </font>
    <font>
      <b val="true"/>
      <sz val="14"/>
      <color rgb="FF7030A0"/>
      <name val="Noto Sans CJK SC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2F5597"/>
        <bgColor rgb="FF2E75B6"/>
      </patternFill>
    </fill>
    <fill>
      <patternFill patternType="solid">
        <fgColor rgb="FFEAF1FB"/>
        <bgColor rgb="FFF2F6FC"/>
      </patternFill>
    </fill>
    <fill>
      <patternFill patternType="solid">
        <fgColor rgb="FFC55A11"/>
        <bgColor rgb="FF993300"/>
      </patternFill>
    </fill>
    <fill>
      <patternFill patternType="solid">
        <fgColor rgb="FF2E75B6"/>
        <bgColor rgb="FF2E7D6B"/>
      </patternFill>
    </fill>
    <fill>
      <patternFill patternType="solid">
        <fgColor rgb="FF7030A0"/>
        <bgColor rgb="FF993366"/>
      </patternFill>
    </fill>
    <fill>
      <patternFill patternType="solid">
        <fgColor rgb="FF2E7D6B"/>
        <bgColor rgb="FF2E75B6"/>
      </patternFill>
    </fill>
    <fill>
      <patternFill patternType="solid">
        <fgColor rgb="FFFDF3EC"/>
        <bgColor rgb="FFF2F6FC"/>
      </patternFill>
    </fill>
    <fill>
      <patternFill patternType="solid">
        <fgColor rgb="FFF3EAFB"/>
        <bgColor rgb="FFEAF1FB"/>
      </patternFill>
    </fill>
    <fill>
      <patternFill patternType="solid">
        <fgColor rgb="FFE3F1ED"/>
        <bgColor rgb="FFEAF1FB"/>
      </patternFill>
    </fill>
    <fill>
      <patternFill patternType="solid">
        <fgColor rgb="FFF2F6FC"/>
        <bgColor rgb="FFEAF1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DF3EC"/>
      <rgbColor rgb="FFE3F1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B"/>
      <rgbColor rgb="FFF2F6FC"/>
      <rgbColor rgb="FFF3EAFB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2E7D6B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1" width="11"/>
  </cols>
  <sheetData>
    <row r="1" customFormat="false" ht="21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/>
      <c r="D4" s="4" t="s">
        <v>3</v>
      </c>
      <c r="E4" s="4"/>
      <c r="G4" s="4" t="s">
        <v>4</v>
      </c>
      <c r="H4" s="4"/>
      <c r="J4" s="4" t="s">
        <v>5</v>
      </c>
      <c r="K4" s="4"/>
    </row>
    <row r="5" customFormat="false" ht="30" hidden="false" customHeight="true" outlineLevel="0" collapsed="false">
      <c r="A5" s="5" t="n">
        <f aca="false">COUNTA(회원관리!A5:A54)</f>
        <v>5</v>
      </c>
      <c r="B5" s="5"/>
      <c r="D5" s="5" t="n">
        <f aca="false">COUNTIF(회원관리!L5:L54,"활성")</f>
        <v>4</v>
      </c>
      <c r="E5" s="5"/>
      <c r="G5" s="5" t="n">
        <f aca="false">COUNTA(상품관리!A5:A64)</f>
        <v>5</v>
      </c>
      <c r="H5" s="5"/>
      <c r="J5" s="5" t="n">
        <f aca="false">COUNTIF(상품관리!J5:J64,"발주필요")</f>
        <v>3</v>
      </c>
      <c r="K5" s="5"/>
    </row>
    <row r="6" customFormat="false" ht="15" hidden="false" customHeight="true" outlineLevel="0" collapsed="false">
      <c r="A6" s="5"/>
      <c r="B6" s="5"/>
      <c r="D6" s="5"/>
      <c r="E6" s="5"/>
      <c r="G6" s="5"/>
      <c r="H6" s="5"/>
      <c r="J6" s="5"/>
      <c r="K6" s="5"/>
    </row>
    <row r="8" customFormat="false" ht="15" hidden="false" customHeight="true" outlineLevel="0" collapsed="false">
      <c r="A8" s="4" t="s">
        <v>6</v>
      </c>
      <c r="B8" s="4"/>
      <c r="D8" s="4" t="s">
        <v>7</v>
      </c>
      <c r="E8" s="4"/>
      <c r="G8" s="4" t="s">
        <v>8</v>
      </c>
      <c r="H8" s="4"/>
      <c r="J8" s="4" t="s">
        <v>9</v>
      </c>
      <c r="K8" s="4"/>
    </row>
    <row r="9" customFormat="false" ht="30" hidden="false" customHeight="true" outlineLevel="0" collapsed="false">
      <c r="A9" s="5" t="n">
        <f aca="false">COUNTA(주문관리!A5:A84)</f>
        <v>5</v>
      </c>
      <c r="B9" s="5"/>
      <c r="D9" s="6" t="n">
        <f aca="false">SUM(주문관리!K5:K84)</f>
        <v>269000</v>
      </c>
      <c r="E9" s="6"/>
      <c r="G9" s="5" t="n">
        <f aca="false">COUNTIF(게시판관리!H5:H64,"대기")</f>
        <v>1</v>
      </c>
      <c r="H9" s="5"/>
      <c r="J9" s="5" t="n">
        <f aca="false">COUNTA(파트너관리!A5:A34)</f>
        <v>4</v>
      </c>
      <c r="K9" s="5"/>
    </row>
    <row r="10" customFormat="false" ht="15" hidden="false" customHeight="true" outlineLevel="0" collapsed="false">
      <c r="A10" s="5"/>
      <c r="B10" s="5"/>
      <c r="D10" s="6"/>
      <c r="E10" s="6"/>
      <c r="G10" s="5"/>
      <c r="H10" s="5"/>
      <c r="J10" s="5"/>
      <c r="K10" s="5"/>
    </row>
    <row r="12" customFormat="false" ht="15" hidden="false" customHeight="true" outlineLevel="0" collapsed="false">
      <c r="A12" s="7" t="s">
        <v>10</v>
      </c>
      <c r="B12" s="7"/>
      <c r="D12" s="8" t="s">
        <v>11</v>
      </c>
      <c r="E12" s="8"/>
      <c r="G12" s="9" t="s">
        <v>12</v>
      </c>
      <c r="H12" s="9"/>
      <c r="J12" s="10" t="s">
        <v>13</v>
      </c>
      <c r="K12" s="10"/>
    </row>
    <row r="13" customFormat="false" ht="30" hidden="false" customHeight="true" outlineLevel="0" collapsed="false">
      <c r="A13" s="11" t="n">
        <f aca="false">COUNTIF(파트너상품등록!M5:M64,"검토중")</f>
        <v>1</v>
      </c>
      <c r="B13" s="11"/>
      <c r="D13" s="12" t="n">
        <f aca="false">COUNTIF(배송관리!I5:I64,"배송중")</f>
        <v>1</v>
      </c>
      <c r="E13" s="12"/>
      <c r="G13" s="13" t="n">
        <f aca="false">COUNTIF(배너관리!J5:J44,"노출중")</f>
        <v>2</v>
      </c>
      <c r="H13" s="13"/>
      <c r="J13" s="14" t="n">
        <f aca="false">COUNTIF(카테고리관리!E5:E44,"노출")</f>
        <v>10</v>
      </c>
      <c r="K13" s="14"/>
    </row>
    <row r="14" customFormat="false" ht="15" hidden="false" customHeight="true" outlineLevel="0" collapsed="false">
      <c r="A14" s="11"/>
      <c r="B14" s="11"/>
      <c r="D14" s="12"/>
      <c r="E14" s="12"/>
      <c r="G14" s="13"/>
      <c r="H14" s="13"/>
      <c r="J14" s="14"/>
      <c r="K14" s="14"/>
    </row>
    <row r="15" customFormat="false" ht="15" hidden="false" customHeight="true" outlineLevel="0" collapsed="false">
      <c r="A15" s="15"/>
    </row>
    <row r="16" customFormat="false" ht="15" hidden="false" customHeight="true" outlineLevel="0" collapsed="false">
      <c r="A16" s="15"/>
    </row>
    <row r="17" customFormat="false" ht="15" hidden="false" customHeight="true" outlineLevel="0" collapsed="false">
      <c r="A17" s="16" t="s">
        <v>14</v>
      </c>
    </row>
    <row r="18" customFormat="false" ht="15" hidden="false" customHeight="true" outlineLevel="0" collapsed="false">
      <c r="A18" s="17" t="s">
        <v>15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customFormat="false" ht="15" hidden="false" customHeight="true" outlineLevel="0" collapsed="false">
      <c r="A19" s="17" t="s">
        <v>16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customFormat="false" ht="15" hidden="false" customHeight="true" outlineLevel="0" collapsed="false">
      <c r="A20" s="17" t="s">
        <v>17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customFormat="false" ht="15" hidden="false" customHeight="true" outlineLevel="0" collapsed="false">
      <c r="A21" s="17" t="s">
        <v>18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customFormat="false" ht="15" hidden="false" customHeight="true" outlineLevel="0" collapsed="false">
      <c r="A22" s="17" t="s">
        <v>19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</row>
    <row r="23" customFormat="false" ht="15" hidden="false" customHeight="true" outlineLevel="0" collapsed="false">
      <c r="A23" s="17" t="s">
        <v>20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 customFormat="false" ht="15" hidden="false" customHeight="true" outlineLevel="0" collapsed="false">
      <c r="A24" s="17" t="s">
        <v>21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customFormat="false" ht="15" hidden="false" customHeight="true" outlineLevel="0" collapsed="false"/>
  </sheetData>
  <mergeCells count="31">
    <mergeCell ref="A4:B4"/>
    <mergeCell ref="D4:E4"/>
    <mergeCell ref="G4:H4"/>
    <mergeCell ref="J4:K4"/>
    <mergeCell ref="A5:B6"/>
    <mergeCell ref="D5:E6"/>
    <mergeCell ref="G5:H6"/>
    <mergeCell ref="J5:K6"/>
    <mergeCell ref="A8:B8"/>
    <mergeCell ref="D8:E8"/>
    <mergeCell ref="G8:H8"/>
    <mergeCell ref="J8:K8"/>
    <mergeCell ref="A9:B10"/>
    <mergeCell ref="D9:E10"/>
    <mergeCell ref="G9:H10"/>
    <mergeCell ref="J9:K10"/>
    <mergeCell ref="A12:B12"/>
    <mergeCell ref="D12:E12"/>
    <mergeCell ref="G12:H12"/>
    <mergeCell ref="J12:K12"/>
    <mergeCell ref="A13:B14"/>
    <mergeCell ref="D13:E14"/>
    <mergeCell ref="G13:H14"/>
    <mergeCell ref="J13:K14"/>
    <mergeCell ref="A18:K18"/>
    <mergeCell ref="A19:K19"/>
    <mergeCell ref="A20:K20"/>
    <mergeCell ref="A21:K21"/>
    <mergeCell ref="A22:K22"/>
    <mergeCell ref="A23:K23"/>
    <mergeCell ref="A24:K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24"/>
    <col collapsed="false" customWidth="true" hidden="false" outlineLevel="0" max="5" min="5" style="1" width="15"/>
    <col collapsed="false" customWidth="true" hidden="false" outlineLevel="0" max="6" min="6" style="1" width="22"/>
    <col collapsed="false" customWidth="true" hidden="false" outlineLevel="0" max="7" min="7" style="1" width="8"/>
    <col collapsed="false" customWidth="true" hidden="false" outlineLevel="0" max="8" min="8" style="1" width="13"/>
    <col collapsed="false" customWidth="true" hidden="false" outlineLevel="0" max="9" min="9" style="1" width="10"/>
    <col collapsed="false" customWidth="true" hidden="false" outlineLevel="0" max="10" min="10" style="1" width="11"/>
    <col collapsed="false" customWidth="true" hidden="false" outlineLevel="0" max="11" min="11" style="1" width="10"/>
    <col collapsed="false" customWidth="true" hidden="false" outlineLevel="0" max="12" min="12" style="1" width="8"/>
    <col collapsed="false" customWidth="true" hidden="false" outlineLevel="0" max="13" min="13" style="1" width="16"/>
  </cols>
  <sheetData>
    <row r="1" customFormat="false" ht="24" hidden="false" customHeight="true" outlineLevel="0" collapsed="false">
      <c r="A1" s="18" t="s">
        <v>22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customFormat="false" ht="15.75" hidden="false" customHeight="true" outlineLevel="0" collapsed="false">
      <c r="A2" s="19" t="s">
        <v>23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4" customFormat="false" ht="15" hidden="false" customHeight="true" outlineLevel="0" collapsed="false">
      <c r="A4" s="20" t="s">
        <v>24</v>
      </c>
      <c r="B4" s="20" t="s">
        <v>25</v>
      </c>
      <c r="C4" s="20" t="s">
        <v>26</v>
      </c>
      <c r="D4" s="20" t="s">
        <v>27</v>
      </c>
      <c r="E4" s="20" t="s">
        <v>28</v>
      </c>
      <c r="F4" s="20" t="s">
        <v>29</v>
      </c>
      <c r="G4" s="20" t="s">
        <v>30</v>
      </c>
      <c r="H4" s="20" t="s">
        <v>31</v>
      </c>
      <c r="I4" s="20" t="s">
        <v>32</v>
      </c>
      <c r="J4" s="20" t="s">
        <v>33</v>
      </c>
      <c r="K4" s="20" t="s">
        <v>34</v>
      </c>
      <c r="L4" s="20" t="s">
        <v>35</v>
      </c>
      <c r="M4" s="20" t="s">
        <v>36</v>
      </c>
    </row>
    <row r="5" customFormat="false" ht="15" hidden="false" customHeight="true" outlineLevel="0" collapsed="false">
      <c r="A5" s="21" t="s">
        <v>37</v>
      </c>
      <c r="B5" s="21" t="s">
        <v>38</v>
      </c>
      <c r="C5" s="22" t="s">
        <v>39</v>
      </c>
      <c r="D5" s="23" t="s">
        <v>40</v>
      </c>
      <c r="E5" s="23" t="s">
        <v>41</v>
      </c>
      <c r="F5" s="22" t="s">
        <v>42</v>
      </c>
      <c r="G5" s="21" t="s">
        <v>43</v>
      </c>
      <c r="H5" s="24" t="n">
        <f aca="false">IF(A5="","",SUMIF(주문관리!$C:$C,A5,주문관리!$L:$L))</f>
        <v>0</v>
      </c>
      <c r="I5" s="24" t="n">
        <f aca="false">IF(A5="","",COUNTIF(주문관리!$C:$C,A5))</f>
        <v>2</v>
      </c>
      <c r="J5" s="21" t="n">
        <v>5000</v>
      </c>
      <c r="K5" s="22" t="s">
        <v>44</v>
      </c>
      <c r="L5" s="22" t="s">
        <v>45</v>
      </c>
      <c r="M5" s="25" t="s">
        <v>46</v>
      </c>
    </row>
    <row r="6" customFormat="false" ht="15" hidden="false" customHeight="true" outlineLevel="0" collapsed="false">
      <c r="A6" s="26" t="s">
        <v>47</v>
      </c>
      <c r="B6" s="26" t="s">
        <v>48</v>
      </c>
      <c r="C6" s="27" t="s">
        <v>49</v>
      </c>
      <c r="D6" s="28" t="s">
        <v>50</v>
      </c>
      <c r="E6" s="28" t="s">
        <v>51</v>
      </c>
      <c r="F6" s="27" t="s">
        <v>52</v>
      </c>
      <c r="G6" s="27" t="s">
        <v>53</v>
      </c>
      <c r="H6" s="29" t="n">
        <f aca="false">IF(A6="","",SUMIF(주문관리!$C:$C,A6,주문관리!$L:$L))</f>
        <v>0</v>
      </c>
      <c r="I6" s="29" t="n">
        <f aca="false">IF(A6="","",COUNTIF(주문관리!$C:$C,A6))</f>
        <v>1</v>
      </c>
      <c r="J6" s="26" t="n">
        <v>1200</v>
      </c>
      <c r="K6" s="27" t="s">
        <v>44</v>
      </c>
      <c r="L6" s="27" t="s">
        <v>45</v>
      </c>
      <c r="M6" s="28"/>
    </row>
    <row r="7" customFormat="false" ht="15" hidden="false" customHeight="true" outlineLevel="0" collapsed="false">
      <c r="A7" s="21" t="s">
        <v>54</v>
      </c>
      <c r="B7" s="21" t="s">
        <v>55</v>
      </c>
      <c r="C7" s="22" t="s">
        <v>56</v>
      </c>
      <c r="D7" s="23" t="s">
        <v>57</v>
      </c>
      <c r="E7" s="23" t="s">
        <v>58</v>
      </c>
      <c r="F7" s="22" t="s">
        <v>59</v>
      </c>
      <c r="G7" s="22" t="s">
        <v>60</v>
      </c>
      <c r="H7" s="24" t="n">
        <f aca="false">IF(A7="","",SUMIF(주문관리!$C:$C,A7,주문관리!$L:$L))</f>
        <v>0</v>
      </c>
      <c r="I7" s="24" t="n">
        <f aca="false">IF(A7="","",COUNTIF(주문관리!$C:$C,A7))</f>
        <v>1</v>
      </c>
      <c r="J7" s="21" t="n">
        <v>0</v>
      </c>
      <c r="K7" s="22" t="s">
        <v>61</v>
      </c>
      <c r="L7" s="22" t="s">
        <v>45</v>
      </c>
      <c r="M7" s="23"/>
    </row>
    <row r="8" customFormat="false" ht="15" hidden="false" customHeight="true" outlineLevel="0" collapsed="false">
      <c r="A8" s="26" t="s">
        <v>62</v>
      </c>
      <c r="B8" s="26" t="s">
        <v>63</v>
      </c>
      <c r="C8" s="27" t="s">
        <v>64</v>
      </c>
      <c r="D8" s="28" t="s">
        <v>65</v>
      </c>
      <c r="E8" s="28" t="s">
        <v>66</v>
      </c>
      <c r="F8" s="27" t="s">
        <v>67</v>
      </c>
      <c r="G8" s="27" t="s">
        <v>60</v>
      </c>
      <c r="H8" s="29" t="n">
        <f aca="false">IF(A8="","",SUMIF(주문관리!$C:$C,A8,주문관리!$L:$L))</f>
        <v>0</v>
      </c>
      <c r="I8" s="29" t="n">
        <f aca="false">IF(A8="","",COUNTIF(주문관리!$C:$C,A8))</f>
        <v>0</v>
      </c>
      <c r="J8" s="26" t="n">
        <v>300</v>
      </c>
      <c r="K8" s="27" t="s">
        <v>44</v>
      </c>
      <c r="L8" s="27" t="s">
        <v>68</v>
      </c>
      <c r="M8" s="28"/>
    </row>
    <row r="9" customFormat="false" ht="15" hidden="false" customHeight="true" outlineLevel="0" collapsed="false">
      <c r="A9" s="21" t="s">
        <v>69</v>
      </c>
      <c r="B9" s="21" t="s">
        <v>70</v>
      </c>
      <c r="C9" s="22" t="s">
        <v>71</v>
      </c>
      <c r="D9" s="23" t="s">
        <v>72</v>
      </c>
      <c r="E9" s="23" t="s">
        <v>73</v>
      </c>
      <c r="F9" s="22" t="s">
        <v>74</v>
      </c>
      <c r="G9" s="22" t="s">
        <v>53</v>
      </c>
      <c r="H9" s="24" t="n">
        <f aca="false">IF(A9="","",SUMIF(주문관리!$C:$C,A9,주문관리!$L:$L))</f>
        <v>0</v>
      </c>
      <c r="I9" s="24" t="n">
        <f aca="false">IF(A9="","",COUNTIF(주문관리!$C:$C,A9))</f>
        <v>1</v>
      </c>
      <c r="J9" s="21" t="n">
        <v>800</v>
      </c>
      <c r="K9" s="22" t="s">
        <v>61</v>
      </c>
      <c r="L9" s="22" t="s">
        <v>45</v>
      </c>
      <c r="M9" s="23"/>
    </row>
    <row r="10" customFormat="false" ht="15" hidden="false" customHeight="true" outlineLevel="0" collapsed="false">
      <c r="A10" s="26"/>
      <c r="B10" s="26"/>
      <c r="C10" s="26"/>
      <c r="D10" s="28"/>
      <c r="E10" s="28"/>
      <c r="F10" s="26"/>
      <c r="G10" s="27"/>
      <c r="H10" s="29" t="str">
        <f aca="false">IF(A10="","",SUMIF(주문관리!$C:$C,A10,주문관리!$L:$L))</f>
        <v/>
      </c>
      <c r="I10" s="29" t="str">
        <f aca="false">IF(A10="","",COUNTIF(주문관리!$C:$C,A10))</f>
        <v/>
      </c>
      <c r="J10" s="26"/>
      <c r="K10" s="27"/>
      <c r="L10" s="27"/>
      <c r="M10" s="28"/>
    </row>
    <row r="11" customFormat="false" ht="15" hidden="false" customHeight="true" outlineLevel="0" collapsed="false">
      <c r="A11" s="21"/>
      <c r="B11" s="21"/>
      <c r="C11" s="21"/>
      <c r="D11" s="23"/>
      <c r="E11" s="23"/>
      <c r="F11" s="21"/>
      <c r="G11" s="21"/>
      <c r="H11" s="24" t="str">
        <f aca="false">IF(A11="","",SUMIF(주문관리!$C:$C,A11,주문관리!$L:$L))</f>
        <v/>
      </c>
      <c r="I11" s="24" t="str">
        <f aca="false">IF(A11="","",COUNTIF(주문관리!$C:$C,A11))</f>
        <v/>
      </c>
      <c r="J11" s="21"/>
      <c r="K11" s="22"/>
      <c r="L11" s="22"/>
      <c r="M11" s="23"/>
    </row>
    <row r="12" customFormat="false" ht="15" hidden="false" customHeight="true" outlineLevel="0" collapsed="false">
      <c r="A12" s="26"/>
      <c r="B12" s="26"/>
      <c r="C12" s="26"/>
      <c r="D12" s="28"/>
      <c r="E12" s="28"/>
      <c r="F12" s="26"/>
      <c r="G12" s="27"/>
      <c r="H12" s="29" t="str">
        <f aca="false">IF(A12="","",SUMIF(주문관리!$C:$C,A12,주문관리!$L:$L))</f>
        <v/>
      </c>
      <c r="I12" s="29" t="str">
        <f aca="false">IF(A12="","",COUNTIF(주문관리!$C:$C,A12))</f>
        <v/>
      </c>
      <c r="J12" s="26"/>
      <c r="K12" s="27"/>
      <c r="L12" s="27"/>
      <c r="M12" s="28"/>
    </row>
    <row r="13" customFormat="false" ht="15" hidden="false" customHeight="true" outlineLevel="0" collapsed="false">
      <c r="A13" s="21"/>
      <c r="B13" s="21"/>
      <c r="C13" s="21"/>
      <c r="D13" s="23"/>
      <c r="E13" s="23"/>
      <c r="F13" s="21"/>
      <c r="G13" s="21"/>
      <c r="H13" s="24" t="str">
        <f aca="false">IF(A13="","",SUMIF(주문관리!$C:$C,A13,주문관리!$L:$L))</f>
        <v/>
      </c>
      <c r="I13" s="24" t="str">
        <f aca="false">IF(A13="","",COUNTIF(주문관리!$C:$C,A13))</f>
        <v/>
      </c>
      <c r="J13" s="21"/>
      <c r="K13" s="22"/>
      <c r="L13" s="22"/>
      <c r="M13" s="23"/>
    </row>
    <row r="14" customFormat="false" ht="15" hidden="false" customHeight="true" outlineLevel="0" collapsed="false">
      <c r="A14" s="26"/>
      <c r="B14" s="26"/>
      <c r="C14" s="26"/>
      <c r="D14" s="28"/>
      <c r="E14" s="28"/>
      <c r="F14" s="26"/>
      <c r="G14" s="27"/>
      <c r="H14" s="29" t="str">
        <f aca="false">IF(A14="","",SUMIF(주문관리!$C:$C,A14,주문관리!$L:$L))</f>
        <v/>
      </c>
      <c r="I14" s="29" t="str">
        <f aca="false">IF(A14="","",COUNTIF(주문관리!$C:$C,A14))</f>
        <v/>
      </c>
      <c r="J14" s="26"/>
      <c r="K14" s="27"/>
      <c r="L14" s="27"/>
      <c r="M14" s="28"/>
    </row>
    <row r="15" customFormat="false" ht="15" hidden="false" customHeight="true" outlineLevel="0" collapsed="false">
      <c r="A15" s="21"/>
      <c r="B15" s="21"/>
      <c r="C15" s="21"/>
      <c r="D15" s="23"/>
      <c r="E15" s="23"/>
      <c r="F15" s="21"/>
      <c r="G15" s="21"/>
      <c r="H15" s="24" t="str">
        <f aca="false">IF(A15="","",SUMIF(주문관리!$C:$C,A15,주문관리!$L:$L))</f>
        <v/>
      </c>
      <c r="I15" s="24" t="str">
        <f aca="false">IF(A15="","",COUNTIF(주문관리!$C:$C,A15))</f>
        <v/>
      </c>
      <c r="J15" s="21"/>
      <c r="K15" s="22"/>
      <c r="L15" s="22"/>
      <c r="M15" s="23"/>
    </row>
    <row r="16" customFormat="false" ht="15" hidden="false" customHeight="true" outlineLevel="0" collapsed="false">
      <c r="A16" s="26"/>
      <c r="B16" s="26"/>
      <c r="C16" s="26"/>
      <c r="D16" s="28"/>
      <c r="E16" s="28"/>
      <c r="F16" s="26"/>
      <c r="G16" s="27"/>
      <c r="H16" s="29" t="str">
        <f aca="false">IF(A16="","",SUMIF(주문관리!$C:$C,A16,주문관리!$L:$L))</f>
        <v/>
      </c>
      <c r="I16" s="29" t="str">
        <f aca="false">IF(A16="","",COUNTIF(주문관리!$C:$C,A16))</f>
        <v/>
      </c>
      <c r="J16" s="26"/>
      <c r="K16" s="27"/>
      <c r="L16" s="27"/>
      <c r="M16" s="28"/>
    </row>
    <row r="17" customFormat="false" ht="15" hidden="false" customHeight="true" outlineLevel="0" collapsed="false">
      <c r="A17" s="21"/>
      <c r="B17" s="21"/>
      <c r="C17" s="21"/>
      <c r="D17" s="23"/>
      <c r="E17" s="23"/>
      <c r="F17" s="21"/>
      <c r="G17" s="21"/>
      <c r="H17" s="24" t="str">
        <f aca="false">IF(A17="","",SUMIF(주문관리!$C:$C,A17,주문관리!$L:$L))</f>
        <v/>
      </c>
      <c r="I17" s="24" t="str">
        <f aca="false">IF(A17="","",COUNTIF(주문관리!$C:$C,A17))</f>
        <v/>
      </c>
      <c r="J17" s="21"/>
      <c r="K17" s="22"/>
      <c r="L17" s="22"/>
      <c r="M17" s="23"/>
    </row>
    <row r="18" customFormat="false" ht="15" hidden="false" customHeight="true" outlineLevel="0" collapsed="false">
      <c r="A18" s="26"/>
      <c r="B18" s="26"/>
      <c r="C18" s="26"/>
      <c r="D18" s="28"/>
      <c r="E18" s="28"/>
      <c r="F18" s="26"/>
      <c r="G18" s="27"/>
      <c r="H18" s="29" t="str">
        <f aca="false">IF(A18="","",SUMIF(주문관리!$C:$C,A18,주문관리!$L:$L))</f>
        <v/>
      </c>
      <c r="I18" s="29" t="str">
        <f aca="false">IF(A18="","",COUNTIF(주문관리!$C:$C,A18))</f>
        <v/>
      </c>
      <c r="J18" s="26"/>
      <c r="K18" s="27"/>
      <c r="L18" s="27"/>
      <c r="M18" s="28"/>
    </row>
    <row r="19" customFormat="false" ht="15" hidden="false" customHeight="true" outlineLevel="0" collapsed="false">
      <c r="A19" s="21"/>
      <c r="B19" s="21"/>
      <c r="C19" s="21"/>
      <c r="D19" s="23"/>
      <c r="E19" s="23"/>
      <c r="F19" s="21"/>
      <c r="G19" s="21"/>
      <c r="H19" s="24" t="str">
        <f aca="false">IF(A19="","",SUMIF(주문관리!$C:$C,A19,주문관리!$L:$L))</f>
        <v/>
      </c>
      <c r="I19" s="24" t="str">
        <f aca="false">IF(A19="","",COUNTIF(주문관리!$C:$C,A19))</f>
        <v/>
      </c>
      <c r="J19" s="21"/>
      <c r="K19" s="22"/>
      <c r="L19" s="22"/>
      <c r="M19" s="23"/>
    </row>
    <row r="20" customFormat="false" ht="15" hidden="false" customHeight="true" outlineLevel="0" collapsed="false">
      <c r="A20" s="26"/>
      <c r="B20" s="26"/>
      <c r="C20" s="26"/>
      <c r="D20" s="28"/>
      <c r="E20" s="28"/>
      <c r="F20" s="26"/>
      <c r="G20" s="27"/>
      <c r="H20" s="29" t="str">
        <f aca="false">IF(A20="","",SUMIF(주문관리!$C:$C,A20,주문관리!$L:$L))</f>
        <v/>
      </c>
      <c r="I20" s="29" t="str">
        <f aca="false">IF(A20="","",COUNTIF(주문관리!$C:$C,A20))</f>
        <v/>
      </c>
      <c r="J20" s="26"/>
      <c r="K20" s="27"/>
      <c r="L20" s="27"/>
      <c r="M20" s="28"/>
    </row>
    <row r="21" customFormat="false" ht="15" hidden="false" customHeight="true" outlineLevel="0" collapsed="false">
      <c r="A21" s="21"/>
      <c r="B21" s="21"/>
      <c r="C21" s="21"/>
      <c r="D21" s="23"/>
      <c r="E21" s="23"/>
      <c r="F21" s="21"/>
      <c r="G21" s="21"/>
      <c r="H21" s="24" t="str">
        <f aca="false">IF(A21="","",SUMIF(주문관리!$C:$C,A21,주문관리!$L:$L))</f>
        <v/>
      </c>
      <c r="I21" s="24" t="str">
        <f aca="false">IF(A21="","",COUNTIF(주문관리!$C:$C,A21))</f>
        <v/>
      </c>
      <c r="J21" s="21"/>
      <c r="K21" s="22"/>
      <c r="L21" s="22"/>
      <c r="M21" s="23"/>
    </row>
    <row r="22" customFormat="false" ht="15" hidden="false" customHeight="true" outlineLevel="0" collapsed="false">
      <c r="A22" s="26"/>
      <c r="B22" s="26"/>
      <c r="C22" s="26"/>
      <c r="D22" s="28"/>
      <c r="E22" s="28"/>
      <c r="F22" s="26"/>
      <c r="G22" s="27"/>
      <c r="H22" s="29" t="str">
        <f aca="false">IF(A22="","",SUMIF(주문관리!$C:$C,A22,주문관리!$L:$L))</f>
        <v/>
      </c>
      <c r="I22" s="29" t="str">
        <f aca="false">IF(A22="","",COUNTIF(주문관리!$C:$C,A22))</f>
        <v/>
      </c>
      <c r="J22" s="26"/>
      <c r="K22" s="27"/>
      <c r="L22" s="27"/>
      <c r="M22" s="28"/>
    </row>
    <row r="23" customFormat="false" ht="15" hidden="false" customHeight="true" outlineLevel="0" collapsed="false">
      <c r="A23" s="21"/>
      <c r="B23" s="21"/>
      <c r="C23" s="21"/>
      <c r="D23" s="23"/>
      <c r="E23" s="23"/>
      <c r="F23" s="21"/>
      <c r="G23" s="21"/>
      <c r="H23" s="24" t="str">
        <f aca="false">IF(A23="","",SUMIF(주문관리!$C:$C,A23,주문관리!$L:$L))</f>
        <v/>
      </c>
      <c r="I23" s="24" t="str">
        <f aca="false">IF(A23="","",COUNTIF(주문관리!$C:$C,A23))</f>
        <v/>
      </c>
      <c r="J23" s="21"/>
      <c r="K23" s="22"/>
      <c r="L23" s="22"/>
      <c r="M23" s="23"/>
    </row>
    <row r="24" customFormat="false" ht="15" hidden="false" customHeight="true" outlineLevel="0" collapsed="false">
      <c r="A24" s="26"/>
      <c r="B24" s="26"/>
      <c r="C24" s="26"/>
      <c r="D24" s="28"/>
      <c r="E24" s="28"/>
      <c r="F24" s="26"/>
      <c r="G24" s="27"/>
      <c r="H24" s="29" t="str">
        <f aca="false">IF(A24="","",SUMIF(주문관리!$C:$C,A24,주문관리!$L:$L))</f>
        <v/>
      </c>
      <c r="I24" s="29" t="str">
        <f aca="false">IF(A24="","",COUNTIF(주문관리!$C:$C,A24))</f>
        <v/>
      </c>
      <c r="J24" s="26"/>
      <c r="K24" s="27"/>
      <c r="L24" s="27"/>
      <c r="M24" s="28"/>
    </row>
    <row r="25" customFormat="false" ht="15" hidden="false" customHeight="true" outlineLevel="0" collapsed="false">
      <c r="A25" s="21"/>
      <c r="B25" s="21"/>
      <c r="C25" s="21"/>
      <c r="D25" s="23"/>
      <c r="E25" s="23"/>
      <c r="F25" s="21"/>
      <c r="G25" s="21"/>
      <c r="H25" s="24" t="str">
        <f aca="false">IF(A25="","",SUMIF(주문관리!$C:$C,A25,주문관리!$L:$L))</f>
        <v/>
      </c>
      <c r="I25" s="24" t="str">
        <f aca="false">IF(A25="","",COUNTIF(주문관리!$C:$C,A25))</f>
        <v/>
      </c>
      <c r="J25" s="21"/>
      <c r="K25" s="22"/>
      <c r="L25" s="22"/>
      <c r="M25" s="23"/>
    </row>
    <row r="26" customFormat="false" ht="15" hidden="false" customHeight="true" outlineLevel="0" collapsed="false">
      <c r="A26" s="26"/>
      <c r="B26" s="26"/>
      <c r="C26" s="26"/>
      <c r="D26" s="28"/>
      <c r="E26" s="28"/>
      <c r="F26" s="26"/>
      <c r="G26" s="27"/>
      <c r="H26" s="29" t="str">
        <f aca="false">IF(A26="","",SUMIF(주문관리!$C:$C,A26,주문관리!$L:$L))</f>
        <v/>
      </c>
      <c r="I26" s="29" t="str">
        <f aca="false">IF(A26="","",COUNTIF(주문관리!$C:$C,A26))</f>
        <v/>
      </c>
      <c r="J26" s="26"/>
      <c r="K26" s="27"/>
      <c r="L26" s="27"/>
      <c r="M26" s="28"/>
    </row>
    <row r="27" customFormat="false" ht="15" hidden="false" customHeight="true" outlineLevel="0" collapsed="false">
      <c r="A27" s="21"/>
      <c r="B27" s="21"/>
      <c r="C27" s="21"/>
      <c r="D27" s="23"/>
      <c r="E27" s="23"/>
      <c r="F27" s="21"/>
      <c r="G27" s="21"/>
      <c r="H27" s="24" t="str">
        <f aca="false">IF(A27="","",SUMIF(주문관리!$C:$C,A27,주문관리!$L:$L))</f>
        <v/>
      </c>
      <c r="I27" s="24" t="str">
        <f aca="false">IF(A27="","",COUNTIF(주문관리!$C:$C,A27))</f>
        <v/>
      </c>
      <c r="J27" s="21"/>
      <c r="K27" s="22"/>
      <c r="L27" s="22"/>
      <c r="M27" s="23"/>
    </row>
    <row r="28" customFormat="false" ht="15" hidden="false" customHeight="true" outlineLevel="0" collapsed="false">
      <c r="A28" s="26"/>
      <c r="B28" s="26"/>
      <c r="C28" s="26"/>
      <c r="D28" s="28"/>
      <c r="E28" s="28"/>
      <c r="F28" s="26"/>
      <c r="G28" s="27"/>
      <c r="H28" s="29" t="str">
        <f aca="false">IF(A28="","",SUMIF(주문관리!$C:$C,A28,주문관리!$L:$L))</f>
        <v/>
      </c>
      <c r="I28" s="29" t="str">
        <f aca="false">IF(A28="","",COUNTIF(주문관리!$C:$C,A28))</f>
        <v/>
      </c>
      <c r="J28" s="26"/>
      <c r="K28" s="27"/>
      <c r="L28" s="27"/>
      <c r="M28" s="28"/>
    </row>
    <row r="29" customFormat="false" ht="15" hidden="false" customHeight="true" outlineLevel="0" collapsed="false">
      <c r="A29" s="21"/>
      <c r="B29" s="21"/>
      <c r="C29" s="21"/>
      <c r="D29" s="23"/>
      <c r="E29" s="23"/>
      <c r="F29" s="21"/>
      <c r="G29" s="21"/>
      <c r="H29" s="24" t="str">
        <f aca="false">IF(A29="","",SUMIF(주문관리!$C:$C,A29,주문관리!$L:$L))</f>
        <v/>
      </c>
      <c r="I29" s="24" t="str">
        <f aca="false">IF(A29="","",COUNTIF(주문관리!$C:$C,A29))</f>
        <v/>
      </c>
      <c r="J29" s="21"/>
      <c r="K29" s="22"/>
      <c r="L29" s="22"/>
      <c r="M29" s="23"/>
    </row>
    <row r="30" customFormat="false" ht="15" hidden="false" customHeight="true" outlineLevel="0" collapsed="false">
      <c r="A30" s="26"/>
      <c r="B30" s="26"/>
      <c r="C30" s="26"/>
      <c r="D30" s="28"/>
      <c r="E30" s="28"/>
      <c r="F30" s="26"/>
      <c r="G30" s="27"/>
      <c r="H30" s="29" t="str">
        <f aca="false">IF(A30="","",SUMIF(주문관리!$C:$C,A30,주문관리!$L:$L))</f>
        <v/>
      </c>
      <c r="I30" s="29" t="str">
        <f aca="false">IF(A30="","",COUNTIF(주문관리!$C:$C,A30))</f>
        <v/>
      </c>
      <c r="J30" s="26"/>
      <c r="K30" s="27"/>
      <c r="L30" s="27"/>
      <c r="M30" s="28"/>
    </row>
    <row r="31" customFormat="false" ht="15" hidden="false" customHeight="true" outlineLevel="0" collapsed="false">
      <c r="A31" s="21"/>
      <c r="B31" s="21"/>
      <c r="C31" s="21"/>
      <c r="D31" s="23"/>
      <c r="E31" s="23"/>
      <c r="F31" s="21"/>
      <c r="G31" s="21"/>
      <c r="H31" s="24" t="str">
        <f aca="false">IF(A31="","",SUMIF(주문관리!$C:$C,A31,주문관리!$L:$L))</f>
        <v/>
      </c>
      <c r="I31" s="24" t="str">
        <f aca="false">IF(A31="","",COUNTIF(주문관리!$C:$C,A31))</f>
        <v/>
      </c>
      <c r="J31" s="21"/>
      <c r="K31" s="22"/>
      <c r="L31" s="22"/>
      <c r="M31" s="23"/>
    </row>
    <row r="32" customFormat="false" ht="15" hidden="false" customHeight="true" outlineLevel="0" collapsed="false">
      <c r="A32" s="26"/>
      <c r="B32" s="26"/>
      <c r="C32" s="26"/>
      <c r="D32" s="28"/>
      <c r="E32" s="28"/>
      <c r="F32" s="26"/>
      <c r="G32" s="27"/>
      <c r="H32" s="29" t="str">
        <f aca="false">IF(A32="","",SUMIF(주문관리!$C:$C,A32,주문관리!$L:$L))</f>
        <v/>
      </c>
      <c r="I32" s="29" t="str">
        <f aca="false">IF(A32="","",COUNTIF(주문관리!$C:$C,A32))</f>
        <v/>
      </c>
      <c r="J32" s="26"/>
      <c r="K32" s="27"/>
      <c r="L32" s="27"/>
      <c r="M32" s="28"/>
    </row>
    <row r="33" customFormat="false" ht="15" hidden="false" customHeight="true" outlineLevel="0" collapsed="false">
      <c r="A33" s="21"/>
      <c r="B33" s="21"/>
      <c r="C33" s="21"/>
      <c r="D33" s="23"/>
      <c r="E33" s="23"/>
      <c r="F33" s="21"/>
      <c r="G33" s="21"/>
      <c r="H33" s="24" t="str">
        <f aca="false">IF(A33="","",SUMIF(주문관리!$C:$C,A33,주문관리!$L:$L))</f>
        <v/>
      </c>
      <c r="I33" s="24" t="str">
        <f aca="false">IF(A33="","",COUNTIF(주문관리!$C:$C,A33))</f>
        <v/>
      </c>
      <c r="J33" s="21"/>
      <c r="K33" s="22"/>
      <c r="L33" s="22"/>
      <c r="M33" s="23"/>
    </row>
    <row r="34" customFormat="false" ht="15" hidden="false" customHeight="true" outlineLevel="0" collapsed="false">
      <c r="A34" s="26"/>
      <c r="B34" s="26"/>
      <c r="C34" s="26"/>
      <c r="D34" s="28"/>
      <c r="E34" s="28"/>
      <c r="F34" s="26"/>
      <c r="G34" s="27"/>
      <c r="H34" s="29" t="str">
        <f aca="false">IF(A34="","",SUMIF(주문관리!$C:$C,A34,주문관리!$L:$L))</f>
        <v/>
      </c>
      <c r="I34" s="29" t="str">
        <f aca="false">IF(A34="","",COUNTIF(주문관리!$C:$C,A34))</f>
        <v/>
      </c>
      <c r="J34" s="26"/>
      <c r="K34" s="27"/>
      <c r="L34" s="27"/>
      <c r="M34" s="28"/>
    </row>
    <row r="35" customFormat="false" ht="15" hidden="false" customHeight="true" outlineLevel="0" collapsed="false">
      <c r="A35" s="21"/>
      <c r="B35" s="21"/>
      <c r="C35" s="21"/>
      <c r="D35" s="23"/>
      <c r="E35" s="23"/>
      <c r="F35" s="21"/>
      <c r="G35" s="21"/>
      <c r="H35" s="24" t="str">
        <f aca="false">IF(A35="","",SUMIF(주문관리!$C:$C,A35,주문관리!$L:$L))</f>
        <v/>
      </c>
      <c r="I35" s="24" t="str">
        <f aca="false">IF(A35="","",COUNTIF(주문관리!$C:$C,A35))</f>
        <v/>
      </c>
      <c r="J35" s="21"/>
      <c r="K35" s="22"/>
      <c r="L35" s="22"/>
      <c r="M35" s="23"/>
    </row>
    <row r="36" customFormat="false" ht="15" hidden="false" customHeight="true" outlineLevel="0" collapsed="false">
      <c r="A36" s="26"/>
      <c r="B36" s="26"/>
      <c r="C36" s="26"/>
      <c r="D36" s="28"/>
      <c r="E36" s="28"/>
      <c r="F36" s="26"/>
      <c r="G36" s="27"/>
      <c r="H36" s="29" t="str">
        <f aca="false">IF(A36="","",SUMIF(주문관리!$C:$C,A36,주문관리!$L:$L))</f>
        <v/>
      </c>
      <c r="I36" s="29" t="str">
        <f aca="false">IF(A36="","",COUNTIF(주문관리!$C:$C,A36))</f>
        <v/>
      </c>
      <c r="J36" s="26"/>
      <c r="K36" s="27"/>
      <c r="L36" s="27"/>
      <c r="M36" s="28"/>
    </row>
    <row r="37" customFormat="false" ht="15" hidden="false" customHeight="true" outlineLevel="0" collapsed="false">
      <c r="A37" s="21"/>
      <c r="B37" s="21"/>
      <c r="C37" s="21"/>
      <c r="D37" s="23"/>
      <c r="E37" s="23"/>
      <c r="F37" s="21"/>
      <c r="G37" s="21"/>
      <c r="H37" s="24" t="str">
        <f aca="false">IF(A37="","",SUMIF(주문관리!$C:$C,A37,주문관리!$L:$L))</f>
        <v/>
      </c>
      <c r="I37" s="24" t="str">
        <f aca="false">IF(A37="","",COUNTIF(주문관리!$C:$C,A37))</f>
        <v/>
      </c>
      <c r="J37" s="21"/>
      <c r="K37" s="22"/>
      <c r="L37" s="22"/>
      <c r="M37" s="23"/>
    </row>
    <row r="38" customFormat="false" ht="15" hidden="false" customHeight="true" outlineLevel="0" collapsed="false">
      <c r="A38" s="26"/>
      <c r="B38" s="26"/>
      <c r="C38" s="26"/>
      <c r="D38" s="28"/>
      <c r="E38" s="28"/>
      <c r="F38" s="26"/>
      <c r="G38" s="27"/>
      <c r="H38" s="29" t="str">
        <f aca="false">IF(A38="","",SUMIF(주문관리!$C:$C,A38,주문관리!$L:$L))</f>
        <v/>
      </c>
      <c r="I38" s="29" t="str">
        <f aca="false">IF(A38="","",COUNTIF(주문관리!$C:$C,A38))</f>
        <v/>
      </c>
      <c r="J38" s="26"/>
      <c r="K38" s="27"/>
      <c r="L38" s="27"/>
      <c r="M38" s="28"/>
    </row>
    <row r="39" customFormat="false" ht="15" hidden="false" customHeight="true" outlineLevel="0" collapsed="false">
      <c r="A39" s="21"/>
      <c r="B39" s="21"/>
      <c r="C39" s="21"/>
      <c r="D39" s="23"/>
      <c r="E39" s="23"/>
      <c r="F39" s="21"/>
      <c r="G39" s="21"/>
      <c r="H39" s="24" t="str">
        <f aca="false">IF(A39="","",SUMIF(주문관리!$C:$C,A39,주문관리!$L:$L))</f>
        <v/>
      </c>
      <c r="I39" s="24" t="str">
        <f aca="false">IF(A39="","",COUNTIF(주문관리!$C:$C,A39))</f>
        <v/>
      </c>
      <c r="J39" s="21"/>
      <c r="K39" s="22"/>
      <c r="L39" s="22"/>
      <c r="M39" s="23"/>
    </row>
    <row r="40" customFormat="false" ht="15" hidden="false" customHeight="true" outlineLevel="0" collapsed="false">
      <c r="A40" s="26"/>
      <c r="B40" s="26"/>
      <c r="C40" s="26"/>
      <c r="D40" s="28"/>
      <c r="E40" s="28"/>
      <c r="F40" s="26"/>
      <c r="G40" s="27"/>
      <c r="H40" s="29" t="str">
        <f aca="false">IF(A40="","",SUMIF(주문관리!$C:$C,A40,주문관리!$L:$L))</f>
        <v/>
      </c>
      <c r="I40" s="29" t="str">
        <f aca="false">IF(A40="","",COUNTIF(주문관리!$C:$C,A40))</f>
        <v/>
      </c>
      <c r="J40" s="26"/>
      <c r="K40" s="27"/>
      <c r="L40" s="27"/>
      <c r="M40" s="28"/>
    </row>
    <row r="41" customFormat="false" ht="15" hidden="false" customHeight="true" outlineLevel="0" collapsed="false">
      <c r="A41" s="21"/>
      <c r="B41" s="21"/>
      <c r="C41" s="21"/>
      <c r="D41" s="23"/>
      <c r="E41" s="23"/>
      <c r="F41" s="21"/>
      <c r="G41" s="21"/>
      <c r="H41" s="24" t="str">
        <f aca="false">IF(A41="","",SUMIF(주문관리!$C:$C,A41,주문관리!$L:$L))</f>
        <v/>
      </c>
      <c r="I41" s="24" t="str">
        <f aca="false">IF(A41="","",COUNTIF(주문관리!$C:$C,A41))</f>
        <v/>
      </c>
      <c r="J41" s="21"/>
      <c r="K41" s="22"/>
      <c r="L41" s="22"/>
      <c r="M41" s="23"/>
    </row>
    <row r="42" customFormat="false" ht="15" hidden="false" customHeight="true" outlineLevel="0" collapsed="false">
      <c r="A42" s="26"/>
      <c r="B42" s="26"/>
      <c r="C42" s="26"/>
      <c r="D42" s="28"/>
      <c r="E42" s="28"/>
      <c r="F42" s="26"/>
      <c r="G42" s="27"/>
      <c r="H42" s="29" t="str">
        <f aca="false">IF(A42="","",SUMIF(주문관리!$C:$C,A42,주문관리!$L:$L))</f>
        <v/>
      </c>
      <c r="I42" s="29" t="str">
        <f aca="false">IF(A42="","",COUNTIF(주문관리!$C:$C,A42))</f>
        <v/>
      </c>
      <c r="J42" s="26"/>
      <c r="K42" s="27"/>
      <c r="L42" s="27"/>
      <c r="M42" s="28"/>
    </row>
    <row r="43" customFormat="false" ht="15" hidden="false" customHeight="true" outlineLevel="0" collapsed="false">
      <c r="A43" s="21"/>
      <c r="B43" s="21"/>
      <c r="C43" s="21"/>
      <c r="D43" s="23"/>
      <c r="E43" s="23"/>
      <c r="F43" s="21"/>
      <c r="G43" s="21"/>
      <c r="H43" s="24" t="str">
        <f aca="false">IF(A43="","",SUMIF(주문관리!$C:$C,A43,주문관리!$L:$L))</f>
        <v/>
      </c>
      <c r="I43" s="24" t="str">
        <f aca="false">IF(A43="","",COUNTIF(주문관리!$C:$C,A43))</f>
        <v/>
      </c>
      <c r="J43" s="21"/>
      <c r="K43" s="22"/>
      <c r="L43" s="22"/>
      <c r="M43" s="23"/>
    </row>
    <row r="44" customFormat="false" ht="15" hidden="false" customHeight="true" outlineLevel="0" collapsed="false">
      <c r="A44" s="26"/>
      <c r="B44" s="26"/>
      <c r="C44" s="26"/>
      <c r="D44" s="28"/>
      <c r="E44" s="28"/>
      <c r="F44" s="26"/>
      <c r="G44" s="27"/>
      <c r="H44" s="29" t="str">
        <f aca="false">IF(A44="","",SUMIF(주문관리!$C:$C,A44,주문관리!$L:$L))</f>
        <v/>
      </c>
      <c r="I44" s="29" t="str">
        <f aca="false">IF(A44="","",COUNTIF(주문관리!$C:$C,A44))</f>
        <v/>
      </c>
      <c r="J44" s="26"/>
      <c r="K44" s="27"/>
      <c r="L44" s="27"/>
      <c r="M44" s="28"/>
    </row>
    <row r="45" customFormat="false" ht="15" hidden="false" customHeight="true" outlineLevel="0" collapsed="false">
      <c r="A45" s="21"/>
      <c r="B45" s="21"/>
      <c r="C45" s="21"/>
      <c r="D45" s="23"/>
      <c r="E45" s="23"/>
      <c r="F45" s="21"/>
      <c r="G45" s="21"/>
      <c r="H45" s="24" t="str">
        <f aca="false">IF(A45="","",SUMIF(주문관리!$C:$C,A45,주문관리!$L:$L))</f>
        <v/>
      </c>
      <c r="I45" s="24" t="str">
        <f aca="false">IF(A45="","",COUNTIF(주문관리!$C:$C,A45))</f>
        <v/>
      </c>
      <c r="J45" s="21"/>
      <c r="K45" s="22"/>
      <c r="L45" s="22"/>
      <c r="M45" s="23"/>
    </row>
    <row r="46" customFormat="false" ht="15" hidden="false" customHeight="true" outlineLevel="0" collapsed="false">
      <c r="A46" s="26"/>
      <c r="B46" s="26"/>
      <c r="C46" s="26"/>
      <c r="D46" s="28"/>
      <c r="E46" s="28"/>
      <c r="F46" s="26"/>
      <c r="G46" s="27"/>
      <c r="H46" s="29" t="str">
        <f aca="false">IF(A46="","",SUMIF(주문관리!$C:$C,A46,주문관리!$L:$L))</f>
        <v/>
      </c>
      <c r="I46" s="29" t="str">
        <f aca="false">IF(A46="","",COUNTIF(주문관리!$C:$C,A46))</f>
        <v/>
      </c>
      <c r="J46" s="26"/>
      <c r="K46" s="27"/>
      <c r="L46" s="27"/>
      <c r="M46" s="28"/>
    </row>
    <row r="47" customFormat="false" ht="15" hidden="false" customHeight="true" outlineLevel="0" collapsed="false">
      <c r="A47" s="21"/>
      <c r="B47" s="21"/>
      <c r="C47" s="21"/>
      <c r="D47" s="23"/>
      <c r="E47" s="23"/>
      <c r="F47" s="21"/>
      <c r="G47" s="21"/>
      <c r="H47" s="24" t="str">
        <f aca="false">IF(A47="","",SUMIF(주문관리!$C:$C,A47,주문관리!$L:$L))</f>
        <v/>
      </c>
      <c r="I47" s="24" t="str">
        <f aca="false">IF(A47="","",COUNTIF(주문관리!$C:$C,A47))</f>
        <v/>
      </c>
      <c r="J47" s="21"/>
      <c r="K47" s="22"/>
      <c r="L47" s="22"/>
      <c r="M47" s="23"/>
    </row>
    <row r="48" customFormat="false" ht="15" hidden="false" customHeight="true" outlineLevel="0" collapsed="false">
      <c r="A48" s="26"/>
      <c r="B48" s="26"/>
      <c r="C48" s="26"/>
      <c r="D48" s="28"/>
      <c r="E48" s="28"/>
      <c r="F48" s="26"/>
      <c r="G48" s="27"/>
      <c r="H48" s="29" t="str">
        <f aca="false">IF(A48="","",SUMIF(주문관리!$C:$C,A48,주문관리!$L:$L))</f>
        <v/>
      </c>
      <c r="I48" s="29" t="str">
        <f aca="false">IF(A48="","",COUNTIF(주문관리!$C:$C,A48))</f>
        <v/>
      </c>
      <c r="J48" s="26"/>
      <c r="K48" s="27"/>
      <c r="L48" s="27"/>
      <c r="M48" s="28"/>
    </row>
    <row r="49" customFormat="false" ht="15" hidden="false" customHeight="true" outlineLevel="0" collapsed="false">
      <c r="A49" s="21"/>
      <c r="B49" s="21"/>
      <c r="C49" s="21"/>
      <c r="D49" s="23"/>
      <c r="E49" s="23"/>
      <c r="F49" s="21"/>
      <c r="G49" s="21"/>
      <c r="H49" s="24" t="str">
        <f aca="false">IF(A49="","",SUMIF(주문관리!$C:$C,A49,주문관리!$L:$L))</f>
        <v/>
      </c>
      <c r="I49" s="24" t="str">
        <f aca="false">IF(A49="","",COUNTIF(주문관리!$C:$C,A49))</f>
        <v/>
      </c>
      <c r="J49" s="21"/>
      <c r="K49" s="22"/>
      <c r="L49" s="22"/>
      <c r="M49" s="23"/>
    </row>
    <row r="50" customFormat="false" ht="15" hidden="false" customHeight="true" outlineLevel="0" collapsed="false">
      <c r="A50" s="26"/>
      <c r="B50" s="26"/>
      <c r="C50" s="26"/>
      <c r="D50" s="28"/>
      <c r="E50" s="28"/>
      <c r="F50" s="26"/>
      <c r="G50" s="27"/>
      <c r="H50" s="29" t="str">
        <f aca="false">IF(A50="","",SUMIF(주문관리!$C:$C,A50,주문관리!$L:$L))</f>
        <v/>
      </c>
      <c r="I50" s="29" t="str">
        <f aca="false">IF(A50="","",COUNTIF(주문관리!$C:$C,A50))</f>
        <v/>
      </c>
      <c r="J50" s="26"/>
      <c r="K50" s="27"/>
      <c r="L50" s="27"/>
      <c r="M50" s="28"/>
    </row>
    <row r="51" customFormat="false" ht="15" hidden="false" customHeight="true" outlineLevel="0" collapsed="false">
      <c r="A51" s="21"/>
      <c r="B51" s="21"/>
      <c r="C51" s="21"/>
      <c r="D51" s="23"/>
      <c r="E51" s="23"/>
      <c r="F51" s="21"/>
      <c r="G51" s="21"/>
      <c r="H51" s="24" t="str">
        <f aca="false">IF(A51="","",SUMIF(주문관리!$C:$C,A51,주문관리!$L:$L))</f>
        <v/>
      </c>
      <c r="I51" s="24" t="str">
        <f aca="false">IF(A51="","",COUNTIF(주문관리!$C:$C,A51))</f>
        <v/>
      </c>
      <c r="J51" s="21"/>
      <c r="K51" s="22"/>
      <c r="L51" s="22"/>
      <c r="M51" s="23"/>
    </row>
    <row r="52" customFormat="false" ht="15" hidden="false" customHeight="true" outlineLevel="0" collapsed="false">
      <c r="A52" s="26"/>
      <c r="B52" s="26"/>
      <c r="C52" s="26"/>
      <c r="D52" s="28"/>
      <c r="E52" s="28"/>
      <c r="F52" s="26"/>
      <c r="G52" s="27"/>
      <c r="H52" s="29" t="str">
        <f aca="false">IF(A52="","",SUMIF(주문관리!$C:$C,A52,주문관리!$L:$L))</f>
        <v/>
      </c>
      <c r="I52" s="29" t="str">
        <f aca="false">IF(A52="","",COUNTIF(주문관리!$C:$C,A52))</f>
        <v/>
      </c>
      <c r="J52" s="26"/>
      <c r="K52" s="27"/>
      <c r="L52" s="27"/>
      <c r="M52" s="28"/>
    </row>
    <row r="53" customFormat="false" ht="15" hidden="false" customHeight="true" outlineLevel="0" collapsed="false">
      <c r="A53" s="21"/>
      <c r="B53" s="21"/>
      <c r="C53" s="21"/>
      <c r="D53" s="23"/>
      <c r="E53" s="23"/>
      <c r="F53" s="21"/>
      <c r="G53" s="21"/>
      <c r="H53" s="24" t="str">
        <f aca="false">IF(A53="","",SUMIF(주문관리!$C:$C,A53,주문관리!$L:$L))</f>
        <v/>
      </c>
      <c r="I53" s="24" t="str">
        <f aca="false">IF(A53="","",COUNTIF(주문관리!$C:$C,A53))</f>
        <v/>
      </c>
      <c r="J53" s="21"/>
      <c r="K53" s="22"/>
      <c r="L53" s="22"/>
      <c r="M53" s="23"/>
    </row>
    <row r="54" customFormat="false" ht="15" hidden="false" customHeight="true" outlineLevel="0" collapsed="false">
      <c r="A54" s="26"/>
      <c r="B54" s="26"/>
      <c r="C54" s="26"/>
      <c r="D54" s="28"/>
      <c r="E54" s="28"/>
      <c r="F54" s="26"/>
      <c r="G54" s="27"/>
      <c r="H54" s="29" t="str">
        <f aca="false">IF(A54="","",SUMIF(주문관리!$C:$C,A54,주문관리!$L:$L))</f>
        <v/>
      </c>
      <c r="I54" s="29" t="str">
        <f aca="false">IF(A54="","",COUNTIF(주문관리!$C:$C,A54))</f>
        <v/>
      </c>
      <c r="J54" s="26"/>
      <c r="K54" s="27"/>
      <c r="L54" s="27"/>
      <c r="M54" s="28"/>
    </row>
  </sheetData>
  <mergeCells count="2">
    <mergeCell ref="A1:M1"/>
    <mergeCell ref="A2:M2"/>
  </mergeCells>
  <dataValidations count="3">
    <dataValidation allowBlank="true" errorStyle="stop" operator="between" showDropDown="false" showErrorMessage="false" showInputMessage="false" sqref="G5:G54" type="list">
      <formula1>"일반,우수,VIP"</formula1>
      <formula2>0</formula2>
    </dataValidation>
    <dataValidation allowBlank="true" errorStyle="stop" operator="between" showDropDown="false" showErrorMessage="false" showInputMessage="false" sqref="K5:K54" type="list">
      <formula1>"동의,미동의"</formula1>
      <formula2>0</formula2>
    </dataValidation>
    <dataValidation allowBlank="true" errorStyle="stop" operator="between" showDropDown="false" showErrorMessage="false" showInputMessage="false" sqref="L5:L54" type="list">
      <formula1>"활성,휴면,탈퇴"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0"/>
    <col collapsed="false" customWidth="true" hidden="false" outlineLevel="0" max="5" min="4" style="0" width="9"/>
    <col collapsed="false" customWidth="true" hidden="false" outlineLevel="0" max="6" min="6" style="0" width="11"/>
    <col collapsed="false" customWidth="true" hidden="false" outlineLevel="0" max="7" min="7" style="0" width="26"/>
    <col collapsed="false" customWidth="true" hidden="false" outlineLevel="0" max="8" min="8" style="0" width="20"/>
  </cols>
  <sheetData>
    <row r="1" customFormat="false" ht="24" hidden="false" customHeight="true" outlineLevel="0" collapsed="false">
      <c r="A1" s="30" t="s">
        <v>75</v>
      </c>
      <c r="B1" s="30"/>
      <c r="C1" s="30"/>
      <c r="D1" s="30"/>
      <c r="E1" s="30"/>
      <c r="F1" s="30"/>
      <c r="G1" s="30"/>
      <c r="H1" s="30"/>
    </row>
    <row r="2" customFormat="false" ht="15.75" hidden="false" customHeight="true" outlineLevel="0" collapsed="false">
      <c r="A2" s="31" t="s">
        <v>76</v>
      </c>
      <c r="B2" s="31"/>
      <c r="C2" s="31"/>
      <c r="D2" s="31"/>
      <c r="E2" s="31"/>
      <c r="F2" s="31"/>
      <c r="G2" s="31"/>
      <c r="H2" s="31"/>
    </row>
    <row r="4" customFormat="false" ht="15" hidden="false" customHeight="false" outlineLevel="0" collapsed="false">
      <c r="A4" s="32" t="s">
        <v>77</v>
      </c>
      <c r="B4" s="32" t="s">
        <v>78</v>
      </c>
      <c r="C4" s="32" t="s">
        <v>79</v>
      </c>
      <c r="D4" s="32" t="s">
        <v>80</v>
      </c>
      <c r="E4" s="32" t="s">
        <v>81</v>
      </c>
      <c r="F4" s="32" t="s">
        <v>82</v>
      </c>
      <c r="G4" s="32" t="s">
        <v>83</v>
      </c>
      <c r="H4" s="32" t="s">
        <v>36</v>
      </c>
    </row>
    <row r="5" customFormat="false" ht="15" hidden="false" customHeight="false" outlineLevel="0" collapsed="false">
      <c r="A5" s="21" t="s">
        <v>84</v>
      </c>
      <c r="B5" s="33" t="s">
        <v>85</v>
      </c>
      <c r="C5" s="21"/>
      <c r="D5" s="21" t="n">
        <v>1</v>
      </c>
      <c r="E5" s="33" t="s">
        <v>86</v>
      </c>
      <c r="F5" s="24" t="n">
        <f aca="false">IF(B5="","",IF(C5&lt;&gt;"","",COUNTIF(상품관리!$B:$B,B5)))</f>
        <v>2</v>
      </c>
      <c r="G5" s="23" t="s">
        <v>87</v>
      </c>
      <c r="H5" s="34" t="s">
        <v>88</v>
      </c>
    </row>
    <row r="6" customFormat="false" ht="15" hidden="false" customHeight="false" outlineLevel="0" collapsed="false">
      <c r="A6" s="35" t="s">
        <v>89</v>
      </c>
      <c r="B6" s="36" t="s">
        <v>85</v>
      </c>
      <c r="C6" s="36" t="s">
        <v>90</v>
      </c>
      <c r="D6" s="35" t="n">
        <v>1</v>
      </c>
      <c r="E6" s="36" t="s">
        <v>86</v>
      </c>
      <c r="F6" s="37" t="str">
        <f aca="false">IF(B6="","",IF(C6&lt;&gt;"","",COUNTIF(상품관리!$B:$B,B6)))</f>
        <v/>
      </c>
      <c r="G6" s="38"/>
      <c r="H6" s="38"/>
    </row>
    <row r="7" customFormat="false" ht="15" hidden="false" customHeight="false" outlineLevel="0" collapsed="false">
      <c r="A7" s="21" t="s">
        <v>91</v>
      </c>
      <c r="B7" s="33" t="s">
        <v>85</v>
      </c>
      <c r="C7" s="33" t="s">
        <v>92</v>
      </c>
      <c r="D7" s="21" t="n">
        <v>2</v>
      </c>
      <c r="E7" s="33" t="s">
        <v>86</v>
      </c>
      <c r="F7" s="24" t="str">
        <f aca="false">IF(B7="","",IF(C7&lt;&gt;"","",COUNTIF(상품관리!$B:$B,B7)))</f>
        <v/>
      </c>
      <c r="G7" s="23"/>
      <c r="H7" s="23"/>
    </row>
    <row r="8" customFormat="false" ht="15" hidden="false" customHeight="false" outlineLevel="0" collapsed="false">
      <c r="A8" s="35" t="s">
        <v>93</v>
      </c>
      <c r="B8" s="36" t="s">
        <v>85</v>
      </c>
      <c r="C8" s="36" t="s">
        <v>94</v>
      </c>
      <c r="D8" s="35" t="n">
        <v>3</v>
      </c>
      <c r="E8" s="36" t="s">
        <v>86</v>
      </c>
      <c r="F8" s="37" t="str">
        <f aca="false">IF(B8="","",IF(C8&lt;&gt;"","",COUNTIF(상품관리!$B:$B,B8)))</f>
        <v/>
      </c>
      <c r="G8" s="38"/>
      <c r="H8" s="38"/>
    </row>
    <row r="9" customFormat="false" ht="15" hidden="false" customHeight="false" outlineLevel="0" collapsed="false">
      <c r="A9" s="21" t="s">
        <v>95</v>
      </c>
      <c r="B9" s="33" t="s">
        <v>96</v>
      </c>
      <c r="C9" s="21"/>
      <c r="D9" s="21" t="n">
        <v>2</v>
      </c>
      <c r="E9" s="33" t="s">
        <v>86</v>
      </c>
      <c r="F9" s="24" t="n">
        <f aca="false">IF(B9="","",IF(C9&lt;&gt;"","",COUNTIF(상품관리!$B:$B,B9)))</f>
        <v>1</v>
      </c>
      <c r="G9" s="23" t="s">
        <v>97</v>
      </c>
      <c r="H9" s="23"/>
    </row>
    <row r="10" customFormat="false" ht="15" hidden="false" customHeight="false" outlineLevel="0" collapsed="false">
      <c r="A10" s="35" t="s">
        <v>98</v>
      </c>
      <c r="B10" s="36" t="s">
        <v>96</v>
      </c>
      <c r="C10" s="36" t="s">
        <v>99</v>
      </c>
      <c r="D10" s="35" t="n">
        <v>1</v>
      </c>
      <c r="E10" s="36" t="s">
        <v>86</v>
      </c>
      <c r="F10" s="37" t="str">
        <f aca="false">IF(B10="","",IF(C10&lt;&gt;"","",COUNTIF(상품관리!$B:$B,B10)))</f>
        <v/>
      </c>
      <c r="G10" s="38"/>
      <c r="H10" s="38"/>
    </row>
    <row r="11" customFormat="false" ht="15" hidden="false" customHeight="false" outlineLevel="0" collapsed="false">
      <c r="A11" s="21" t="s">
        <v>100</v>
      </c>
      <c r="B11" s="33" t="s">
        <v>96</v>
      </c>
      <c r="C11" s="33" t="s">
        <v>101</v>
      </c>
      <c r="D11" s="21" t="n">
        <v>2</v>
      </c>
      <c r="E11" s="33" t="s">
        <v>86</v>
      </c>
      <c r="F11" s="24" t="str">
        <f aca="false">IF(B11="","",IF(C11&lt;&gt;"","",COUNTIF(상품관리!$B:$B,B11)))</f>
        <v/>
      </c>
      <c r="G11" s="23"/>
      <c r="H11" s="23"/>
    </row>
    <row r="12" customFormat="false" ht="15" hidden="false" customHeight="false" outlineLevel="0" collapsed="false">
      <c r="A12" s="35" t="s">
        <v>102</v>
      </c>
      <c r="B12" s="36" t="s">
        <v>103</v>
      </c>
      <c r="C12" s="35"/>
      <c r="D12" s="35" t="n">
        <v>3</v>
      </c>
      <c r="E12" s="36" t="s">
        <v>86</v>
      </c>
      <c r="F12" s="37" t="n">
        <f aca="false">IF(B12="","",IF(C12&lt;&gt;"","",COUNTIF(상품관리!$B:$B,B12)))</f>
        <v>1</v>
      </c>
      <c r="G12" s="38" t="s">
        <v>104</v>
      </c>
      <c r="H12" s="38"/>
    </row>
    <row r="13" customFormat="false" ht="15" hidden="false" customHeight="false" outlineLevel="0" collapsed="false">
      <c r="A13" s="21" t="s">
        <v>105</v>
      </c>
      <c r="B13" s="33" t="s">
        <v>106</v>
      </c>
      <c r="C13" s="21"/>
      <c r="D13" s="21" t="n">
        <v>4</v>
      </c>
      <c r="E13" s="33" t="s">
        <v>86</v>
      </c>
      <c r="F13" s="24" t="n">
        <f aca="false">IF(B13="","",IF(C13&lt;&gt;"","",COUNTIF(상품관리!$B:$B,B13)))</f>
        <v>1</v>
      </c>
      <c r="G13" s="23" t="s">
        <v>107</v>
      </c>
      <c r="H13" s="23"/>
    </row>
    <row r="14" customFormat="false" ht="15" hidden="false" customHeight="false" outlineLevel="0" collapsed="false">
      <c r="A14" s="35" t="s">
        <v>108</v>
      </c>
      <c r="B14" s="36" t="s">
        <v>109</v>
      </c>
      <c r="C14" s="35"/>
      <c r="D14" s="35" t="n">
        <v>5</v>
      </c>
      <c r="E14" s="36" t="s">
        <v>110</v>
      </c>
      <c r="F14" s="37" t="n">
        <f aca="false">IF(B14="","",IF(C14&lt;&gt;"","",COUNTIF(상품관리!$B:$B,B14)))</f>
        <v>0</v>
      </c>
      <c r="G14" s="38" t="s">
        <v>111</v>
      </c>
      <c r="H14" s="39" t="s">
        <v>112</v>
      </c>
    </row>
    <row r="15" customFormat="false" ht="15" hidden="false" customHeight="false" outlineLevel="0" collapsed="false">
      <c r="A15" s="21" t="s">
        <v>113</v>
      </c>
      <c r="B15" s="33" t="s">
        <v>114</v>
      </c>
      <c r="C15" s="21"/>
      <c r="D15" s="21" t="n">
        <v>6</v>
      </c>
      <c r="E15" s="33" t="s">
        <v>86</v>
      </c>
      <c r="F15" s="24" t="n">
        <f aca="false">IF(B15="","",IF(C15&lt;&gt;"","",COUNTIF(상품관리!$B:$B,B15)))</f>
        <v>0</v>
      </c>
      <c r="G15" s="23"/>
      <c r="H15" s="23"/>
    </row>
    <row r="16" customFormat="false" ht="15" hidden="false" customHeight="false" outlineLevel="0" collapsed="false">
      <c r="A16" s="35"/>
      <c r="B16" s="35"/>
      <c r="C16" s="35"/>
      <c r="D16" s="35"/>
      <c r="E16" s="36"/>
      <c r="F16" s="37" t="str">
        <f aca="false">IF(B16="","",IF(C16&lt;&gt;"","",COUNTIF(상품관리!$B:$B,B16)))</f>
        <v/>
      </c>
      <c r="G16" s="38"/>
      <c r="H16" s="38"/>
    </row>
    <row r="17" customFormat="false" ht="15" hidden="false" customHeight="false" outlineLevel="0" collapsed="false">
      <c r="A17" s="21"/>
      <c r="B17" s="21"/>
      <c r="C17" s="21"/>
      <c r="D17" s="21"/>
      <c r="E17" s="33"/>
      <c r="F17" s="24" t="str">
        <f aca="false">IF(B17="","",IF(C17&lt;&gt;"","",COUNTIF(상품관리!$B:$B,B17)))</f>
        <v/>
      </c>
      <c r="G17" s="23"/>
      <c r="H17" s="23"/>
    </row>
    <row r="18" customFormat="false" ht="15" hidden="false" customHeight="false" outlineLevel="0" collapsed="false">
      <c r="A18" s="35"/>
      <c r="B18" s="35"/>
      <c r="C18" s="35"/>
      <c r="D18" s="35"/>
      <c r="E18" s="36"/>
      <c r="F18" s="37" t="str">
        <f aca="false">IF(B18="","",IF(C18&lt;&gt;"","",COUNTIF(상품관리!$B:$B,B18)))</f>
        <v/>
      </c>
      <c r="G18" s="38"/>
      <c r="H18" s="38"/>
    </row>
    <row r="19" customFormat="false" ht="15" hidden="false" customHeight="false" outlineLevel="0" collapsed="false">
      <c r="A19" s="21"/>
      <c r="B19" s="21"/>
      <c r="C19" s="21"/>
      <c r="D19" s="21"/>
      <c r="E19" s="33"/>
      <c r="F19" s="24" t="str">
        <f aca="false">IF(B19="","",IF(C19&lt;&gt;"","",COUNTIF(상품관리!$B:$B,B19)))</f>
        <v/>
      </c>
      <c r="G19" s="23"/>
      <c r="H19" s="23"/>
    </row>
    <row r="20" customFormat="false" ht="15" hidden="false" customHeight="false" outlineLevel="0" collapsed="false">
      <c r="A20" s="35"/>
      <c r="B20" s="35"/>
      <c r="C20" s="35"/>
      <c r="D20" s="35"/>
      <c r="E20" s="36"/>
      <c r="F20" s="37" t="str">
        <f aca="false">IF(B20="","",IF(C20&lt;&gt;"","",COUNTIF(상품관리!$B:$B,B20)))</f>
        <v/>
      </c>
      <c r="G20" s="38"/>
      <c r="H20" s="38"/>
    </row>
    <row r="21" customFormat="false" ht="15" hidden="false" customHeight="false" outlineLevel="0" collapsed="false">
      <c r="A21" s="21"/>
      <c r="B21" s="21"/>
      <c r="C21" s="21"/>
      <c r="D21" s="21"/>
      <c r="E21" s="33"/>
      <c r="F21" s="24" t="str">
        <f aca="false">IF(B21="","",IF(C21&lt;&gt;"","",COUNTIF(상품관리!$B:$B,B21)))</f>
        <v/>
      </c>
      <c r="G21" s="23"/>
      <c r="H21" s="23"/>
    </row>
    <row r="22" customFormat="false" ht="15" hidden="false" customHeight="false" outlineLevel="0" collapsed="false">
      <c r="A22" s="35"/>
      <c r="B22" s="35"/>
      <c r="C22" s="35"/>
      <c r="D22" s="35"/>
      <c r="E22" s="36"/>
      <c r="F22" s="37" t="str">
        <f aca="false">IF(B22="","",IF(C22&lt;&gt;"","",COUNTIF(상품관리!$B:$B,B22)))</f>
        <v/>
      </c>
      <c r="G22" s="38"/>
      <c r="H22" s="38"/>
    </row>
    <row r="23" customFormat="false" ht="15" hidden="false" customHeight="false" outlineLevel="0" collapsed="false">
      <c r="A23" s="21"/>
      <c r="B23" s="21"/>
      <c r="C23" s="21"/>
      <c r="D23" s="21"/>
      <c r="E23" s="33"/>
      <c r="F23" s="24" t="str">
        <f aca="false">IF(B23="","",IF(C23&lt;&gt;"","",COUNTIF(상품관리!$B:$B,B23)))</f>
        <v/>
      </c>
      <c r="G23" s="23"/>
      <c r="H23" s="23"/>
    </row>
    <row r="24" customFormat="false" ht="15" hidden="false" customHeight="false" outlineLevel="0" collapsed="false">
      <c r="A24" s="35"/>
      <c r="B24" s="35"/>
      <c r="C24" s="35"/>
      <c r="D24" s="35"/>
      <c r="E24" s="36"/>
      <c r="F24" s="37" t="str">
        <f aca="false">IF(B24="","",IF(C24&lt;&gt;"","",COUNTIF(상품관리!$B:$B,B24)))</f>
        <v/>
      </c>
      <c r="G24" s="38"/>
      <c r="H24" s="38"/>
    </row>
    <row r="25" customFormat="false" ht="15" hidden="false" customHeight="false" outlineLevel="0" collapsed="false">
      <c r="A25" s="21"/>
      <c r="B25" s="21"/>
      <c r="C25" s="21"/>
      <c r="D25" s="21"/>
      <c r="E25" s="33"/>
      <c r="F25" s="24" t="str">
        <f aca="false">IF(B25="","",IF(C25&lt;&gt;"","",COUNTIF(상품관리!$B:$B,B25)))</f>
        <v/>
      </c>
      <c r="G25" s="23"/>
      <c r="H25" s="23"/>
    </row>
    <row r="26" customFormat="false" ht="15" hidden="false" customHeight="false" outlineLevel="0" collapsed="false">
      <c r="A26" s="35"/>
      <c r="B26" s="35"/>
      <c r="C26" s="35"/>
      <c r="D26" s="35"/>
      <c r="E26" s="36"/>
      <c r="F26" s="37" t="str">
        <f aca="false">IF(B26="","",IF(C26&lt;&gt;"","",COUNTIF(상품관리!$B:$B,B26)))</f>
        <v/>
      </c>
      <c r="G26" s="38"/>
      <c r="H26" s="38"/>
    </row>
    <row r="27" customFormat="false" ht="15" hidden="false" customHeight="false" outlineLevel="0" collapsed="false">
      <c r="A27" s="21"/>
      <c r="B27" s="21"/>
      <c r="C27" s="21"/>
      <c r="D27" s="21"/>
      <c r="E27" s="33"/>
      <c r="F27" s="24" t="str">
        <f aca="false">IF(B27="","",IF(C27&lt;&gt;"","",COUNTIF(상품관리!$B:$B,B27)))</f>
        <v/>
      </c>
      <c r="G27" s="23"/>
      <c r="H27" s="23"/>
    </row>
    <row r="28" customFormat="false" ht="15" hidden="false" customHeight="false" outlineLevel="0" collapsed="false">
      <c r="A28" s="35"/>
      <c r="B28" s="35"/>
      <c r="C28" s="35"/>
      <c r="D28" s="35"/>
      <c r="E28" s="36"/>
      <c r="F28" s="37" t="str">
        <f aca="false">IF(B28="","",IF(C28&lt;&gt;"","",COUNTIF(상품관리!$B:$B,B28)))</f>
        <v/>
      </c>
      <c r="G28" s="38"/>
      <c r="H28" s="38"/>
    </row>
    <row r="29" customFormat="false" ht="15" hidden="false" customHeight="false" outlineLevel="0" collapsed="false">
      <c r="A29" s="21"/>
      <c r="B29" s="21"/>
      <c r="C29" s="21"/>
      <c r="D29" s="21"/>
      <c r="E29" s="33"/>
      <c r="F29" s="24" t="str">
        <f aca="false">IF(B29="","",IF(C29&lt;&gt;"","",COUNTIF(상품관리!$B:$B,B29)))</f>
        <v/>
      </c>
      <c r="G29" s="23"/>
      <c r="H29" s="23"/>
    </row>
    <row r="30" customFormat="false" ht="15" hidden="false" customHeight="false" outlineLevel="0" collapsed="false">
      <c r="A30" s="35"/>
      <c r="B30" s="35"/>
      <c r="C30" s="35"/>
      <c r="D30" s="35"/>
      <c r="E30" s="36"/>
      <c r="F30" s="37" t="str">
        <f aca="false">IF(B30="","",IF(C30&lt;&gt;"","",COUNTIF(상품관리!$B:$B,B30)))</f>
        <v/>
      </c>
      <c r="G30" s="38"/>
      <c r="H30" s="38"/>
    </row>
    <row r="31" customFormat="false" ht="15" hidden="false" customHeight="false" outlineLevel="0" collapsed="false">
      <c r="A31" s="21"/>
      <c r="B31" s="21"/>
      <c r="C31" s="21"/>
      <c r="D31" s="21"/>
      <c r="E31" s="33"/>
      <c r="F31" s="24" t="str">
        <f aca="false">IF(B31="","",IF(C31&lt;&gt;"","",COUNTIF(상품관리!$B:$B,B31)))</f>
        <v/>
      </c>
      <c r="G31" s="23"/>
      <c r="H31" s="23"/>
    </row>
    <row r="32" customFormat="false" ht="15" hidden="false" customHeight="false" outlineLevel="0" collapsed="false">
      <c r="A32" s="35"/>
      <c r="B32" s="35"/>
      <c r="C32" s="35"/>
      <c r="D32" s="35"/>
      <c r="E32" s="36"/>
      <c r="F32" s="37" t="str">
        <f aca="false">IF(B32="","",IF(C32&lt;&gt;"","",COUNTIF(상품관리!$B:$B,B32)))</f>
        <v/>
      </c>
      <c r="G32" s="38"/>
      <c r="H32" s="38"/>
    </row>
    <row r="33" customFormat="false" ht="15" hidden="false" customHeight="false" outlineLevel="0" collapsed="false">
      <c r="A33" s="21"/>
      <c r="B33" s="21"/>
      <c r="C33" s="21"/>
      <c r="D33" s="21"/>
      <c r="E33" s="33"/>
      <c r="F33" s="24" t="str">
        <f aca="false">IF(B33="","",IF(C33&lt;&gt;"","",COUNTIF(상품관리!$B:$B,B33)))</f>
        <v/>
      </c>
      <c r="G33" s="23"/>
      <c r="H33" s="23"/>
    </row>
    <row r="34" customFormat="false" ht="15" hidden="false" customHeight="false" outlineLevel="0" collapsed="false">
      <c r="A34" s="35"/>
      <c r="B34" s="35"/>
      <c r="C34" s="35"/>
      <c r="D34" s="35"/>
      <c r="E34" s="36"/>
      <c r="F34" s="37" t="str">
        <f aca="false">IF(B34="","",IF(C34&lt;&gt;"","",COUNTIF(상품관리!$B:$B,B34)))</f>
        <v/>
      </c>
      <c r="G34" s="38"/>
      <c r="H34" s="38"/>
    </row>
    <row r="35" customFormat="false" ht="15" hidden="false" customHeight="false" outlineLevel="0" collapsed="false">
      <c r="A35" s="21"/>
      <c r="B35" s="21"/>
      <c r="C35" s="21"/>
      <c r="D35" s="21"/>
      <c r="E35" s="33"/>
      <c r="F35" s="24" t="str">
        <f aca="false">IF(B35="","",IF(C35&lt;&gt;"","",COUNTIF(상품관리!$B:$B,B35)))</f>
        <v/>
      </c>
      <c r="G35" s="23"/>
      <c r="H35" s="23"/>
    </row>
    <row r="36" customFormat="false" ht="15" hidden="false" customHeight="false" outlineLevel="0" collapsed="false">
      <c r="A36" s="35"/>
      <c r="B36" s="35"/>
      <c r="C36" s="35"/>
      <c r="D36" s="35"/>
      <c r="E36" s="36"/>
      <c r="F36" s="37" t="str">
        <f aca="false">IF(B36="","",IF(C36&lt;&gt;"","",COUNTIF(상품관리!$B:$B,B36)))</f>
        <v/>
      </c>
      <c r="G36" s="38"/>
      <c r="H36" s="38"/>
    </row>
    <row r="37" customFormat="false" ht="15" hidden="false" customHeight="false" outlineLevel="0" collapsed="false">
      <c r="A37" s="21"/>
      <c r="B37" s="21"/>
      <c r="C37" s="21"/>
      <c r="D37" s="21"/>
      <c r="E37" s="33"/>
      <c r="F37" s="24" t="str">
        <f aca="false">IF(B37="","",IF(C37&lt;&gt;"","",COUNTIF(상품관리!$B:$B,B37)))</f>
        <v/>
      </c>
      <c r="G37" s="23"/>
      <c r="H37" s="23"/>
    </row>
    <row r="38" customFormat="false" ht="15" hidden="false" customHeight="false" outlineLevel="0" collapsed="false">
      <c r="A38" s="35"/>
      <c r="B38" s="35"/>
      <c r="C38" s="35"/>
      <c r="D38" s="35"/>
      <c r="E38" s="36"/>
      <c r="F38" s="37" t="str">
        <f aca="false">IF(B38="","",IF(C38&lt;&gt;"","",COUNTIF(상품관리!$B:$B,B38)))</f>
        <v/>
      </c>
      <c r="G38" s="38"/>
      <c r="H38" s="38"/>
    </row>
    <row r="39" customFormat="false" ht="15" hidden="false" customHeight="false" outlineLevel="0" collapsed="false">
      <c r="A39" s="21"/>
      <c r="B39" s="21"/>
      <c r="C39" s="21"/>
      <c r="D39" s="21"/>
      <c r="E39" s="33"/>
      <c r="F39" s="24" t="str">
        <f aca="false">IF(B39="","",IF(C39&lt;&gt;"","",COUNTIF(상품관리!$B:$B,B39)))</f>
        <v/>
      </c>
      <c r="G39" s="23"/>
      <c r="H39" s="23"/>
    </row>
    <row r="40" customFormat="false" ht="15" hidden="false" customHeight="false" outlineLevel="0" collapsed="false">
      <c r="A40" s="35"/>
      <c r="B40" s="35"/>
      <c r="C40" s="35"/>
      <c r="D40" s="35"/>
      <c r="E40" s="36"/>
      <c r="F40" s="37" t="str">
        <f aca="false">IF(B40="","",IF(C40&lt;&gt;"","",COUNTIF(상품관리!$B:$B,B40)))</f>
        <v/>
      </c>
      <c r="G40" s="38"/>
      <c r="H40" s="38"/>
    </row>
    <row r="41" customFormat="false" ht="15" hidden="false" customHeight="false" outlineLevel="0" collapsed="false">
      <c r="A41" s="21"/>
      <c r="B41" s="21"/>
      <c r="C41" s="21"/>
      <c r="D41" s="21"/>
      <c r="E41" s="33"/>
      <c r="F41" s="24" t="str">
        <f aca="false">IF(B41="","",IF(C41&lt;&gt;"","",COUNTIF(상품관리!$B:$B,B41)))</f>
        <v/>
      </c>
      <c r="G41" s="23"/>
      <c r="H41" s="23"/>
    </row>
    <row r="42" customFormat="false" ht="15" hidden="false" customHeight="false" outlineLevel="0" collapsed="false">
      <c r="A42" s="35"/>
      <c r="B42" s="35"/>
      <c r="C42" s="35"/>
      <c r="D42" s="35"/>
      <c r="E42" s="36"/>
      <c r="F42" s="37" t="str">
        <f aca="false">IF(B42="","",IF(C42&lt;&gt;"","",COUNTIF(상품관리!$B:$B,B42)))</f>
        <v/>
      </c>
      <c r="G42" s="38"/>
      <c r="H42" s="38"/>
    </row>
    <row r="43" customFormat="false" ht="15" hidden="false" customHeight="false" outlineLevel="0" collapsed="false">
      <c r="A43" s="21"/>
      <c r="B43" s="21"/>
      <c r="C43" s="21"/>
      <c r="D43" s="21"/>
      <c r="E43" s="33"/>
      <c r="F43" s="24" t="str">
        <f aca="false">IF(B43="","",IF(C43&lt;&gt;"","",COUNTIF(상품관리!$B:$B,B43)))</f>
        <v/>
      </c>
      <c r="G43" s="23"/>
      <c r="H43" s="23"/>
    </row>
    <row r="44" customFormat="false" ht="15" hidden="false" customHeight="false" outlineLevel="0" collapsed="false">
      <c r="A44" s="35"/>
      <c r="B44" s="35"/>
      <c r="C44" s="35"/>
      <c r="D44" s="35"/>
      <c r="E44" s="36"/>
      <c r="F44" s="37" t="str">
        <f aca="false">IF(B44="","",IF(C44&lt;&gt;"","",COUNTIF(상품관리!$B:$B,B44)))</f>
        <v/>
      </c>
      <c r="G44" s="38"/>
      <c r="H44" s="38"/>
    </row>
  </sheetData>
  <mergeCells count="2">
    <mergeCell ref="A1:H1"/>
    <mergeCell ref="A2:H2"/>
  </mergeCells>
  <dataValidations count="1">
    <dataValidation allowBlank="true" errorStyle="stop" operator="between" showDropDown="false" showErrorMessage="false" showInputMessage="false" sqref="E5:E44" type="list">
      <formula1>"노출,숨김"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9"/>
    <col collapsed="false" customWidth="true" hidden="false" outlineLevel="0" max="3" min="3" style="1" width="22"/>
    <col collapsed="false" customWidth="true" hidden="false" outlineLevel="0" max="4" min="4" style="1" width="12"/>
    <col collapsed="false" customWidth="true" hidden="false" outlineLevel="0" max="6" min="5" style="1" width="10"/>
    <col collapsed="false" customWidth="true" hidden="false" outlineLevel="0" max="7" min="7" style="1" width="8"/>
    <col collapsed="false" customWidth="true" hidden="false" outlineLevel="0" max="8" min="8" style="1" width="10"/>
    <col collapsed="false" customWidth="true" hidden="false" outlineLevel="0" max="9" min="9" style="1" width="9"/>
    <col collapsed="false" customWidth="true" hidden="false" outlineLevel="0" max="10" min="10" style="1" width="10"/>
    <col collapsed="false" customWidth="true" hidden="false" outlineLevel="0" max="12" min="11" style="1" width="12"/>
    <col collapsed="false" customWidth="true" hidden="false" outlineLevel="0" max="13" min="13" style="1" width="9"/>
    <col collapsed="false" customWidth="true" hidden="false" outlineLevel="0" max="14" min="14" style="1" width="11"/>
  </cols>
  <sheetData>
    <row r="1" customFormat="false" ht="24" hidden="false" customHeight="true" outlineLevel="0" collapsed="false">
      <c r="A1" s="18" t="s">
        <v>115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customFormat="false" ht="15.75" hidden="false" customHeight="true" outlineLevel="0" collapsed="false">
      <c r="A2" s="19" t="s">
        <v>116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4" customFormat="false" ht="15" hidden="false" customHeight="true" outlineLevel="0" collapsed="false">
      <c r="A4" s="20" t="s">
        <v>117</v>
      </c>
      <c r="B4" s="20" t="s">
        <v>118</v>
      </c>
      <c r="C4" s="20" t="s">
        <v>119</v>
      </c>
      <c r="D4" s="20" t="s">
        <v>120</v>
      </c>
      <c r="E4" s="20" t="s">
        <v>121</v>
      </c>
      <c r="F4" s="20" t="s">
        <v>122</v>
      </c>
      <c r="G4" s="20" t="s">
        <v>123</v>
      </c>
      <c r="H4" s="20" t="s">
        <v>124</v>
      </c>
      <c r="I4" s="20" t="s">
        <v>125</v>
      </c>
      <c r="J4" s="20" t="s">
        <v>126</v>
      </c>
      <c r="K4" s="20" t="s">
        <v>127</v>
      </c>
      <c r="L4" s="20" t="s">
        <v>128</v>
      </c>
      <c r="M4" s="20" t="s">
        <v>129</v>
      </c>
      <c r="N4" s="20" t="s">
        <v>130</v>
      </c>
    </row>
    <row r="5" customFormat="false" ht="15" hidden="false" customHeight="true" outlineLevel="0" collapsed="false">
      <c r="A5" s="21" t="s">
        <v>131</v>
      </c>
      <c r="B5" s="22" t="s">
        <v>85</v>
      </c>
      <c r="C5" s="25" t="s">
        <v>132</v>
      </c>
      <c r="D5" s="22" t="s">
        <v>133</v>
      </c>
      <c r="E5" s="40" t="n">
        <v>8000</v>
      </c>
      <c r="F5" s="40" t="n">
        <v>19000</v>
      </c>
      <c r="G5" s="41" t="n">
        <f aca="false">IF(OR(E5="",F5=""),"",(F5-E5)/F5)</f>
        <v>0.578947368421053</v>
      </c>
      <c r="H5" s="21" t="n">
        <v>120</v>
      </c>
      <c r="I5" s="21" t="n">
        <v>30</v>
      </c>
      <c r="J5" s="24" t="str">
        <f aca="false">IF(H5="","",IF(H5&lt;=I5,"발주필요","정상"))</f>
        <v>정상</v>
      </c>
      <c r="K5" s="21" t="s">
        <v>134</v>
      </c>
      <c r="L5" s="23" t="s">
        <v>135</v>
      </c>
      <c r="M5" s="22" t="s">
        <v>136</v>
      </c>
      <c r="N5" s="24" t="n">
        <f aca="false">IF(A5="","",SUMIF(주문관리!$F:$F,A5,주문관리!$H:$H))</f>
        <v>0</v>
      </c>
    </row>
    <row r="6" customFormat="false" ht="15" hidden="false" customHeight="true" outlineLevel="0" collapsed="false">
      <c r="A6" s="26" t="s">
        <v>137</v>
      </c>
      <c r="B6" s="27" t="s">
        <v>85</v>
      </c>
      <c r="C6" s="42" t="s">
        <v>138</v>
      </c>
      <c r="D6" s="27" t="s">
        <v>139</v>
      </c>
      <c r="E6" s="43" t="n">
        <v>18000</v>
      </c>
      <c r="F6" s="43" t="n">
        <v>39000</v>
      </c>
      <c r="G6" s="44" t="n">
        <f aca="false">IF(OR(E6="",F6=""),"",(F6-E6)/F6)</f>
        <v>0.538461538461538</v>
      </c>
      <c r="H6" s="26" t="n">
        <v>45</v>
      </c>
      <c r="I6" s="26" t="n">
        <v>20</v>
      </c>
      <c r="J6" s="29" t="str">
        <f aca="false">IF(H6="","",IF(H6&lt;=I6,"발주필요","정상"))</f>
        <v>정상</v>
      </c>
      <c r="K6" s="26" t="s">
        <v>134</v>
      </c>
      <c r="L6" s="28" t="s">
        <v>140</v>
      </c>
      <c r="M6" s="27" t="s">
        <v>136</v>
      </c>
      <c r="N6" s="29" t="n">
        <f aca="false">IF(A6="","",SUMIF(주문관리!$F:$F,A6,주문관리!$H:$H))</f>
        <v>0</v>
      </c>
    </row>
    <row r="7" customFormat="false" ht="15" hidden="false" customHeight="true" outlineLevel="0" collapsed="false">
      <c r="A7" s="21" t="s">
        <v>141</v>
      </c>
      <c r="B7" s="22" t="s">
        <v>96</v>
      </c>
      <c r="C7" s="25" t="s">
        <v>142</v>
      </c>
      <c r="D7" s="22" t="s">
        <v>143</v>
      </c>
      <c r="E7" s="40" t="n">
        <v>4500</v>
      </c>
      <c r="F7" s="40" t="n">
        <v>12000</v>
      </c>
      <c r="G7" s="41" t="n">
        <f aca="false">IF(OR(E7="",F7=""),"",(F7-E7)/F7)</f>
        <v>0.625</v>
      </c>
      <c r="H7" s="21" t="n">
        <v>15</v>
      </c>
      <c r="I7" s="21" t="n">
        <v>20</v>
      </c>
      <c r="J7" s="24" t="str">
        <f aca="false">IF(H7="","",IF(H7&lt;=I7,"발주필요","정상"))</f>
        <v>발주필요</v>
      </c>
      <c r="K7" s="21" t="s">
        <v>144</v>
      </c>
      <c r="L7" s="23" t="s">
        <v>145</v>
      </c>
      <c r="M7" s="22" t="s">
        <v>136</v>
      </c>
      <c r="N7" s="24" t="n">
        <f aca="false">IF(A7="","",SUMIF(주문관리!$F:$F,A7,주문관리!$H:$H))</f>
        <v>0</v>
      </c>
    </row>
    <row r="8" customFormat="false" ht="15" hidden="false" customHeight="true" outlineLevel="0" collapsed="false">
      <c r="A8" s="26" t="s">
        <v>146</v>
      </c>
      <c r="B8" s="27" t="s">
        <v>103</v>
      </c>
      <c r="C8" s="42" t="s">
        <v>147</v>
      </c>
      <c r="D8" s="26" t="s">
        <v>148</v>
      </c>
      <c r="E8" s="43" t="n">
        <v>22000</v>
      </c>
      <c r="F8" s="43" t="n">
        <v>49000</v>
      </c>
      <c r="G8" s="44" t="n">
        <f aca="false">IF(OR(E8="",F8=""),"",(F8-E8)/F8)</f>
        <v>0.551020408163265</v>
      </c>
      <c r="H8" s="26" t="n">
        <v>8</v>
      </c>
      <c r="I8" s="26" t="n">
        <v>15</v>
      </c>
      <c r="J8" s="29" t="str">
        <f aca="false">IF(H8="","",IF(H8&lt;=I8,"발주필요","정상"))</f>
        <v>발주필요</v>
      </c>
      <c r="K8" s="26" t="s">
        <v>149</v>
      </c>
      <c r="L8" s="28" t="s">
        <v>150</v>
      </c>
      <c r="M8" s="27" t="s">
        <v>136</v>
      </c>
      <c r="N8" s="29" t="n">
        <f aca="false">IF(A8="","",SUMIF(주문관리!$F:$F,A8,주문관리!$H:$H))</f>
        <v>0</v>
      </c>
    </row>
    <row r="9" customFormat="false" ht="15" hidden="false" customHeight="true" outlineLevel="0" collapsed="false">
      <c r="A9" s="21" t="s">
        <v>151</v>
      </c>
      <c r="B9" s="22" t="s">
        <v>106</v>
      </c>
      <c r="C9" s="25" t="s">
        <v>152</v>
      </c>
      <c r="D9" s="21" t="s">
        <v>153</v>
      </c>
      <c r="E9" s="40" t="n">
        <v>6000</v>
      </c>
      <c r="F9" s="40" t="n">
        <v>18000</v>
      </c>
      <c r="G9" s="41" t="n">
        <f aca="false">IF(OR(E9="",F9=""),"",(F9-E9)/F9)</f>
        <v>0.666666666666667</v>
      </c>
      <c r="H9" s="21" t="n">
        <v>0</v>
      </c>
      <c r="I9" s="21" t="n">
        <v>10</v>
      </c>
      <c r="J9" s="24" t="str">
        <f aca="false">IF(H9="","",IF(H9&lt;=I9,"발주필요","정상"))</f>
        <v>발주필요</v>
      </c>
      <c r="K9" s="21" t="s">
        <v>144</v>
      </c>
      <c r="L9" s="23" t="s">
        <v>154</v>
      </c>
      <c r="M9" s="22" t="s">
        <v>155</v>
      </c>
      <c r="N9" s="24" t="n">
        <f aca="false">IF(A9="","",SUMIF(주문관리!$F:$F,A9,주문관리!$H:$H))</f>
        <v>0</v>
      </c>
    </row>
    <row r="10" customFormat="false" ht="15" hidden="false" customHeight="true" outlineLevel="0" collapsed="false">
      <c r="A10" s="26"/>
      <c r="B10" s="27"/>
      <c r="C10" s="28"/>
      <c r="D10" s="26"/>
      <c r="E10" s="43"/>
      <c r="F10" s="43"/>
      <c r="G10" s="44" t="str">
        <f aca="false">IF(OR(E10="",F10=""),"",(F10-E10)/F10)</f>
        <v/>
      </c>
      <c r="H10" s="26"/>
      <c r="I10" s="26"/>
      <c r="J10" s="29" t="str">
        <f aca="false">IF(H10="","",IF(H10&lt;=I10,"발주필요","정상"))</f>
        <v/>
      </c>
      <c r="K10" s="26"/>
      <c r="L10" s="28"/>
      <c r="M10" s="27"/>
      <c r="N10" s="29" t="str">
        <f aca="false">IF(A10="","",SUMIF(주문관리!$F:$F,A10,주문관리!$H:$H))</f>
        <v/>
      </c>
    </row>
    <row r="11" customFormat="false" ht="15" hidden="false" customHeight="true" outlineLevel="0" collapsed="false">
      <c r="A11" s="21"/>
      <c r="B11" s="22"/>
      <c r="C11" s="23"/>
      <c r="D11" s="21"/>
      <c r="E11" s="40"/>
      <c r="F11" s="40"/>
      <c r="G11" s="41" t="str">
        <f aca="false">IF(OR(E11="",F11=""),"",(F11-E11)/F11)</f>
        <v/>
      </c>
      <c r="H11" s="21"/>
      <c r="I11" s="21"/>
      <c r="J11" s="24" t="str">
        <f aca="false">IF(H11="","",IF(H11&lt;=I11,"발주필요","정상"))</f>
        <v/>
      </c>
      <c r="K11" s="21"/>
      <c r="L11" s="23"/>
      <c r="M11" s="22"/>
      <c r="N11" s="24" t="str">
        <f aca="false">IF(A11="","",SUMIF(주문관리!$F:$F,A11,주문관리!$H:$H))</f>
        <v/>
      </c>
    </row>
    <row r="12" customFormat="false" ht="15" hidden="false" customHeight="true" outlineLevel="0" collapsed="false">
      <c r="A12" s="26"/>
      <c r="B12" s="27"/>
      <c r="C12" s="28"/>
      <c r="D12" s="26"/>
      <c r="E12" s="43"/>
      <c r="F12" s="43"/>
      <c r="G12" s="44" t="str">
        <f aca="false">IF(OR(E12="",F12=""),"",(F12-E12)/F12)</f>
        <v/>
      </c>
      <c r="H12" s="26"/>
      <c r="I12" s="26"/>
      <c r="J12" s="29" t="str">
        <f aca="false">IF(H12="","",IF(H12&lt;=I12,"발주필요","정상"))</f>
        <v/>
      </c>
      <c r="K12" s="26"/>
      <c r="L12" s="28"/>
      <c r="M12" s="27"/>
      <c r="N12" s="29" t="str">
        <f aca="false">IF(A12="","",SUMIF(주문관리!$F:$F,A12,주문관리!$H:$H))</f>
        <v/>
      </c>
    </row>
    <row r="13" customFormat="false" ht="15" hidden="false" customHeight="true" outlineLevel="0" collapsed="false">
      <c r="A13" s="21"/>
      <c r="B13" s="22"/>
      <c r="C13" s="23"/>
      <c r="D13" s="21"/>
      <c r="E13" s="40"/>
      <c r="F13" s="40"/>
      <c r="G13" s="41" t="str">
        <f aca="false">IF(OR(E13="",F13=""),"",(F13-E13)/F13)</f>
        <v/>
      </c>
      <c r="H13" s="21"/>
      <c r="I13" s="21"/>
      <c r="J13" s="24" t="str">
        <f aca="false">IF(H13="","",IF(H13&lt;=I13,"발주필요","정상"))</f>
        <v/>
      </c>
      <c r="K13" s="21"/>
      <c r="L13" s="23"/>
      <c r="M13" s="22"/>
      <c r="N13" s="24" t="str">
        <f aca="false">IF(A13="","",SUMIF(주문관리!$F:$F,A13,주문관리!$H:$H))</f>
        <v/>
      </c>
    </row>
    <row r="14" customFormat="false" ht="15" hidden="false" customHeight="true" outlineLevel="0" collapsed="false">
      <c r="A14" s="26"/>
      <c r="B14" s="27"/>
      <c r="C14" s="28"/>
      <c r="D14" s="26"/>
      <c r="E14" s="43"/>
      <c r="F14" s="43"/>
      <c r="G14" s="44" t="str">
        <f aca="false">IF(OR(E14="",F14=""),"",(F14-E14)/F14)</f>
        <v/>
      </c>
      <c r="H14" s="26"/>
      <c r="I14" s="26"/>
      <c r="J14" s="29" t="str">
        <f aca="false">IF(H14="","",IF(H14&lt;=I14,"발주필요","정상"))</f>
        <v/>
      </c>
      <c r="K14" s="26"/>
      <c r="L14" s="28"/>
      <c r="M14" s="27"/>
      <c r="N14" s="29" t="str">
        <f aca="false">IF(A14="","",SUMIF(주문관리!$F:$F,A14,주문관리!$H:$H))</f>
        <v/>
      </c>
    </row>
    <row r="15" customFormat="false" ht="15" hidden="false" customHeight="true" outlineLevel="0" collapsed="false">
      <c r="A15" s="21"/>
      <c r="B15" s="22"/>
      <c r="C15" s="23"/>
      <c r="D15" s="21"/>
      <c r="E15" s="40"/>
      <c r="F15" s="40"/>
      <c r="G15" s="41" t="str">
        <f aca="false">IF(OR(E15="",F15=""),"",(F15-E15)/F15)</f>
        <v/>
      </c>
      <c r="H15" s="21"/>
      <c r="I15" s="21"/>
      <c r="J15" s="24" t="str">
        <f aca="false">IF(H15="","",IF(H15&lt;=I15,"발주필요","정상"))</f>
        <v/>
      </c>
      <c r="K15" s="21"/>
      <c r="L15" s="23"/>
      <c r="M15" s="22"/>
      <c r="N15" s="24" t="str">
        <f aca="false">IF(A15="","",SUMIF(주문관리!$F:$F,A15,주문관리!$H:$H))</f>
        <v/>
      </c>
    </row>
    <row r="16" customFormat="false" ht="15" hidden="false" customHeight="true" outlineLevel="0" collapsed="false">
      <c r="A16" s="26"/>
      <c r="B16" s="27"/>
      <c r="C16" s="28"/>
      <c r="D16" s="26"/>
      <c r="E16" s="43"/>
      <c r="F16" s="43"/>
      <c r="G16" s="44" t="str">
        <f aca="false">IF(OR(E16="",F16=""),"",(F16-E16)/F16)</f>
        <v/>
      </c>
      <c r="H16" s="26"/>
      <c r="I16" s="26"/>
      <c r="J16" s="29" t="str">
        <f aca="false">IF(H16="","",IF(H16&lt;=I16,"발주필요","정상"))</f>
        <v/>
      </c>
      <c r="K16" s="26"/>
      <c r="L16" s="28"/>
      <c r="M16" s="27"/>
      <c r="N16" s="29" t="str">
        <f aca="false">IF(A16="","",SUMIF(주문관리!$F:$F,A16,주문관리!$H:$H))</f>
        <v/>
      </c>
    </row>
    <row r="17" customFormat="false" ht="15" hidden="false" customHeight="true" outlineLevel="0" collapsed="false">
      <c r="A17" s="21"/>
      <c r="B17" s="22"/>
      <c r="C17" s="23"/>
      <c r="D17" s="21"/>
      <c r="E17" s="40"/>
      <c r="F17" s="40"/>
      <c r="G17" s="41" t="str">
        <f aca="false">IF(OR(E17="",F17=""),"",(F17-E17)/F17)</f>
        <v/>
      </c>
      <c r="H17" s="21"/>
      <c r="I17" s="21"/>
      <c r="J17" s="24" t="str">
        <f aca="false">IF(H17="","",IF(H17&lt;=I17,"발주필요","정상"))</f>
        <v/>
      </c>
      <c r="K17" s="21"/>
      <c r="L17" s="23"/>
      <c r="M17" s="22"/>
      <c r="N17" s="24" t="str">
        <f aca="false">IF(A17="","",SUMIF(주문관리!$F:$F,A17,주문관리!$H:$H))</f>
        <v/>
      </c>
    </row>
    <row r="18" customFormat="false" ht="15" hidden="false" customHeight="true" outlineLevel="0" collapsed="false">
      <c r="A18" s="26"/>
      <c r="B18" s="27"/>
      <c r="C18" s="28"/>
      <c r="D18" s="26"/>
      <c r="E18" s="43"/>
      <c r="F18" s="43"/>
      <c r="G18" s="44" t="str">
        <f aca="false">IF(OR(E18="",F18=""),"",(F18-E18)/F18)</f>
        <v/>
      </c>
      <c r="H18" s="26"/>
      <c r="I18" s="26"/>
      <c r="J18" s="29" t="str">
        <f aca="false">IF(H18="","",IF(H18&lt;=I18,"발주필요","정상"))</f>
        <v/>
      </c>
      <c r="K18" s="26"/>
      <c r="L18" s="28"/>
      <c r="M18" s="27"/>
      <c r="N18" s="29" t="str">
        <f aca="false">IF(A18="","",SUMIF(주문관리!$F:$F,A18,주문관리!$H:$H))</f>
        <v/>
      </c>
    </row>
    <row r="19" customFormat="false" ht="15" hidden="false" customHeight="true" outlineLevel="0" collapsed="false">
      <c r="A19" s="21"/>
      <c r="B19" s="22"/>
      <c r="C19" s="23"/>
      <c r="D19" s="21"/>
      <c r="E19" s="40"/>
      <c r="F19" s="40"/>
      <c r="G19" s="41" t="str">
        <f aca="false">IF(OR(E19="",F19=""),"",(F19-E19)/F19)</f>
        <v/>
      </c>
      <c r="H19" s="21"/>
      <c r="I19" s="21"/>
      <c r="J19" s="24" t="str">
        <f aca="false">IF(H19="","",IF(H19&lt;=I19,"발주필요","정상"))</f>
        <v/>
      </c>
      <c r="K19" s="21"/>
      <c r="L19" s="23"/>
      <c r="M19" s="22"/>
      <c r="N19" s="24" t="str">
        <f aca="false">IF(A19="","",SUMIF(주문관리!$F:$F,A19,주문관리!$H:$H))</f>
        <v/>
      </c>
    </row>
    <row r="20" customFormat="false" ht="15" hidden="false" customHeight="true" outlineLevel="0" collapsed="false">
      <c r="A20" s="26"/>
      <c r="B20" s="27"/>
      <c r="C20" s="28"/>
      <c r="D20" s="26"/>
      <c r="E20" s="43"/>
      <c r="F20" s="43"/>
      <c r="G20" s="44" t="str">
        <f aca="false">IF(OR(E20="",F20=""),"",(F20-E20)/F20)</f>
        <v/>
      </c>
      <c r="H20" s="26"/>
      <c r="I20" s="26"/>
      <c r="J20" s="29" t="str">
        <f aca="false">IF(H20="","",IF(H20&lt;=I20,"발주필요","정상"))</f>
        <v/>
      </c>
      <c r="K20" s="26"/>
      <c r="L20" s="28"/>
      <c r="M20" s="27"/>
      <c r="N20" s="29" t="str">
        <f aca="false">IF(A20="","",SUMIF(주문관리!$F:$F,A20,주문관리!$H:$H))</f>
        <v/>
      </c>
    </row>
    <row r="21" customFormat="false" ht="15" hidden="false" customHeight="true" outlineLevel="0" collapsed="false">
      <c r="A21" s="21"/>
      <c r="B21" s="22"/>
      <c r="C21" s="23"/>
      <c r="D21" s="21"/>
      <c r="E21" s="40"/>
      <c r="F21" s="40"/>
      <c r="G21" s="41" t="str">
        <f aca="false">IF(OR(E21="",F21=""),"",(F21-E21)/F21)</f>
        <v/>
      </c>
      <c r="H21" s="21"/>
      <c r="I21" s="21"/>
      <c r="J21" s="24" t="str">
        <f aca="false">IF(H21="","",IF(H21&lt;=I21,"발주필요","정상"))</f>
        <v/>
      </c>
      <c r="K21" s="21"/>
      <c r="L21" s="23"/>
      <c r="M21" s="22"/>
      <c r="N21" s="24" t="str">
        <f aca="false">IF(A21="","",SUMIF(주문관리!$F:$F,A21,주문관리!$H:$H))</f>
        <v/>
      </c>
    </row>
    <row r="22" customFormat="false" ht="15" hidden="false" customHeight="true" outlineLevel="0" collapsed="false">
      <c r="A22" s="26"/>
      <c r="B22" s="27"/>
      <c r="C22" s="28"/>
      <c r="D22" s="26"/>
      <c r="E22" s="43"/>
      <c r="F22" s="43"/>
      <c r="G22" s="44" t="str">
        <f aca="false">IF(OR(E22="",F22=""),"",(F22-E22)/F22)</f>
        <v/>
      </c>
      <c r="H22" s="26"/>
      <c r="I22" s="26"/>
      <c r="J22" s="29" t="str">
        <f aca="false">IF(H22="","",IF(H22&lt;=I22,"발주필요","정상"))</f>
        <v/>
      </c>
      <c r="K22" s="26"/>
      <c r="L22" s="28"/>
      <c r="M22" s="27"/>
      <c r="N22" s="29" t="str">
        <f aca="false">IF(A22="","",SUMIF(주문관리!$F:$F,A22,주문관리!$H:$H))</f>
        <v/>
      </c>
    </row>
    <row r="23" customFormat="false" ht="15" hidden="false" customHeight="true" outlineLevel="0" collapsed="false">
      <c r="A23" s="21"/>
      <c r="B23" s="22"/>
      <c r="C23" s="23"/>
      <c r="D23" s="21"/>
      <c r="E23" s="40"/>
      <c r="F23" s="40"/>
      <c r="G23" s="41" t="str">
        <f aca="false">IF(OR(E23="",F23=""),"",(F23-E23)/F23)</f>
        <v/>
      </c>
      <c r="H23" s="21"/>
      <c r="I23" s="21"/>
      <c r="J23" s="24" t="str">
        <f aca="false">IF(H23="","",IF(H23&lt;=I23,"발주필요","정상"))</f>
        <v/>
      </c>
      <c r="K23" s="21"/>
      <c r="L23" s="23"/>
      <c r="M23" s="22"/>
      <c r="N23" s="24" t="str">
        <f aca="false">IF(A23="","",SUMIF(주문관리!$F:$F,A23,주문관리!$H:$H))</f>
        <v/>
      </c>
    </row>
    <row r="24" customFormat="false" ht="15" hidden="false" customHeight="true" outlineLevel="0" collapsed="false">
      <c r="A24" s="26"/>
      <c r="B24" s="27"/>
      <c r="C24" s="28"/>
      <c r="D24" s="26"/>
      <c r="E24" s="43"/>
      <c r="F24" s="43"/>
      <c r="G24" s="44" t="str">
        <f aca="false">IF(OR(E24="",F24=""),"",(F24-E24)/F24)</f>
        <v/>
      </c>
      <c r="H24" s="26"/>
      <c r="I24" s="26"/>
      <c r="J24" s="29" t="str">
        <f aca="false">IF(H24="","",IF(H24&lt;=I24,"발주필요","정상"))</f>
        <v/>
      </c>
      <c r="K24" s="26"/>
      <c r="L24" s="28"/>
      <c r="M24" s="27"/>
      <c r="N24" s="29" t="str">
        <f aca="false">IF(A24="","",SUMIF(주문관리!$F:$F,A24,주문관리!$H:$H))</f>
        <v/>
      </c>
    </row>
    <row r="25" customFormat="false" ht="15" hidden="false" customHeight="true" outlineLevel="0" collapsed="false">
      <c r="A25" s="21"/>
      <c r="B25" s="22"/>
      <c r="C25" s="23"/>
      <c r="D25" s="21"/>
      <c r="E25" s="40"/>
      <c r="F25" s="40"/>
      <c r="G25" s="41" t="str">
        <f aca="false">IF(OR(E25="",F25=""),"",(F25-E25)/F25)</f>
        <v/>
      </c>
      <c r="H25" s="21"/>
      <c r="I25" s="21"/>
      <c r="J25" s="24" t="str">
        <f aca="false">IF(H25="","",IF(H25&lt;=I25,"발주필요","정상"))</f>
        <v/>
      </c>
      <c r="K25" s="21"/>
      <c r="L25" s="23"/>
      <c r="M25" s="22"/>
      <c r="N25" s="24" t="str">
        <f aca="false">IF(A25="","",SUMIF(주문관리!$F:$F,A25,주문관리!$H:$H))</f>
        <v/>
      </c>
    </row>
    <row r="26" customFormat="false" ht="15" hidden="false" customHeight="true" outlineLevel="0" collapsed="false">
      <c r="A26" s="26"/>
      <c r="B26" s="27"/>
      <c r="C26" s="28"/>
      <c r="D26" s="26"/>
      <c r="E26" s="43"/>
      <c r="F26" s="43"/>
      <c r="G26" s="44" t="str">
        <f aca="false">IF(OR(E26="",F26=""),"",(F26-E26)/F26)</f>
        <v/>
      </c>
      <c r="H26" s="26"/>
      <c r="I26" s="26"/>
      <c r="J26" s="29" t="str">
        <f aca="false">IF(H26="","",IF(H26&lt;=I26,"발주필요","정상"))</f>
        <v/>
      </c>
      <c r="K26" s="26"/>
      <c r="L26" s="28"/>
      <c r="M26" s="27"/>
      <c r="N26" s="29" t="str">
        <f aca="false">IF(A26="","",SUMIF(주문관리!$F:$F,A26,주문관리!$H:$H))</f>
        <v/>
      </c>
    </row>
    <row r="27" customFormat="false" ht="15" hidden="false" customHeight="true" outlineLevel="0" collapsed="false">
      <c r="A27" s="21"/>
      <c r="B27" s="22"/>
      <c r="C27" s="23"/>
      <c r="D27" s="21"/>
      <c r="E27" s="40"/>
      <c r="F27" s="40"/>
      <c r="G27" s="41" t="str">
        <f aca="false">IF(OR(E27="",F27=""),"",(F27-E27)/F27)</f>
        <v/>
      </c>
      <c r="H27" s="21"/>
      <c r="I27" s="21"/>
      <c r="J27" s="24" t="str">
        <f aca="false">IF(H27="","",IF(H27&lt;=I27,"발주필요","정상"))</f>
        <v/>
      </c>
      <c r="K27" s="21"/>
      <c r="L27" s="23"/>
      <c r="M27" s="22"/>
      <c r="N27" s="24" t="str">
        <f aca="false">IF(A27="","",SUMIF(주문관리!$F:$F,A27,주문관리!$H:$H))</f>
        <v/>
      </c>
    </row>
    <row r="28" customFormat="false" ht="15" hidden="false" customHeight="true" outlineLevel="0" collapsed="false">
      <c r="A28" s="26"/>
      <c r="B28" s="27"/>
      <c r="C28" s="28"/>
      <c r="D28" s="26"/>
      <c r="E28" s="43"/>
      <c r="F28" s="43"/>
      <c r="G28" s="44" t="str">
        <f aca="false">IF(OR(E28="",F28=""),"",(F28-E28)/F28)</f>
        <v/>
      </c>
      <c r="H28" s="26"/>
      <c r="I28" s="26"/>
      <c r="J28" s="29" t="str">
        <f aca="false">IF(H28="","",IF(H28&lt;=I28,"발주필요","정상"))</f>
        <v/>
      </c>
      <c r="K28" s="26"/>
      <c r="L28" s="28"/>
      <c r="M28" s="27"/>
      <c r="N28" s="29" t="str">
        <f aca="false">IF(A28="","",SUMIF(주문관리!$F:$F,A28,주문관리!$H:$H))</f>
        <v/>
      </c>
    </row>
    <row r="29" customFormat="false" ht="15" hidden="false" customHeight="true" outlineLevel="0" collapsed="false">
      <c r="A29" s="21"/>
      <c r="B29" s="22"/>
      <c r="C29" s="23"/>
      <c r="D29" s="21"/>
      <c r="E29" s="40"/>
      <c r="F29" s="40"/>
      <c r="G29" s="41" t="str">
        <f aca="false">IF(OR(E29="",F29=""),"",(F29-E29)/F29)</f>
        <v/>
      </c>
      <c r="H29" s="21"/>
      <c r="I29" s="21"/>
      <c r="J29" s="24" t="str">
        <f aca="false">IF(H29="","",IF(H29&lt;=I29,"발주필요","정상"))</f>
        <v/>
      </c>
      <c r="K29" s="21"/>
      <c r="L29" s="23"/>
      <c r="M29" s="22"/>
      <c r="N29" s="24" t="str">
        <f aca="false">IF(A29="","",SUMIF(주문관리!$F:$F,A29,주문관리!$H:$H))</f>
        <v/>
      </c>
    </row>
    <row r="30" customFormat="false" ht="15" hidden="false" customHeight="true" outlineLevel="0" collapsed="false">
      <c r="A30" s="26"/>
      <c r="B30" s="27"/>
      <c r="C30" s="28"/>
      <c r="D30" s="26"/>
      <c r="E30" s="43"/>
      <c r="F30" s="43"/>
      <c r="G30" s="44" t="str">
        <f aca="false">IF(OR(E30="",F30=""),"",(F30-E30)/F30)</f>
        <v/>
      </c>
      <c r="H30" s="26"/>
      <c r="I30" s="26"/>
      <c r="J30" s="29" t="str">
        <f aca="false">IF(H30="","",IF(H30&lt;=I30,"발주필요","정상"))</f>
        <v/>
      </c>
      <c r="K30" s="26"/>
      <c r="L30" s="28"/>
      <c r="M30" s="27"/>
      <c r="N30" s="29" t="str">
        <f aca="false">IF(A30="","",SUMIF(주문관리!$F:$F,A30,주문관리!$H:$H))</f>
        <v/>
      </c>
    </row>
    <row r="31" customFormat="false" ht="15" hidden="false" customHeight="true" outlineLevel="0" collapsed="false">
      <c r="A31" s="21"/>
      <c r="B31" s="22"/>
      <c r="C31" s="23"/>
      <c r="D31" s="21"/>
      <c r="E31" s="40"/>
      <c r="F31" s="40"/>
      <c r="G31" s="41" t="str">
        <f aca="false">IF(OR(E31="",F31=""),"",(F31-E31)/F31)</f>
        <v/>
      </c>
      <c r="H31" s="21"/>
      <c r="I31" s="21"/>
      <c r="J31" s="24" t="str">
        <f aca="false">IF(H31="","",IF(H31&lt;=I31,"발주필요","정상"))</f>
        <v/>
      </c>
      <c r="K31" s="21"/>
      <c r="L31" s="23"/>
      <c r="M31" s="22"/>
      <c r="N31" s="24" t="str">
        <f aca="false">IF(A31="","",SUMIF(주문관리!$F:$F,A31,주문관리!$H:$H))</f>
        <v/>
      </c>
    </row>
    <row r="32" customFormat="false" ht="15" hidden="false" customHeight="true" outlineLevel="0" collapsed="false">
      <c r="A32" s="26"/>
      <c r="B32" s="27"/>
      <c r="C32" s="28"/>
      <c r="D32" s="26"/>
      <c r="E32" s="43"/>
      <c r="F32" s="43"/>
      <c r="G32" s="44" t="str">
        <f aca="false">IF(OR(E32="",F32=""),"",(F32-E32)/F32)</f>
        <v/>
      </c>
      <c r="H32" s="26"/>
      <c r="I32" s="26"/>
      <c r="J32" s="29" t="str">
        <f aca="false">IF(H32="","",IF(H32&lt;=I32,"발주필요","정상"))</f>
        <v/>
      </c>
      <c r="K32" s="26"/>
      <c r="L32" s="28"/>
      <c r="M32" s="27"/>
      <c r="N32" s="29" t="str">
        <f aca="false">IF(A32="","",SUMIF(주문관리!$F:$F,A32,주문관리!$H:$H))</f>
        <v/>
      </c>
    </row>
    <row r="33" customFormat="false" ht="15" hidden="false" customHeight="true" outlineLevel="0" collapsed="false">
      <c r="A33" s="21"/>
      <c r="B33" s="22"/>
      <c r="C33" s="23"/>
      <c r="D33" s="21"/>
      <c r="E33" s="40"/>
      <c r="F33" s="40"/>
      <c r="G33" s="41" t="str">
        <f aca="false">IF(OR(E33="",F33=""),"",(F33-E33)/F33)</f>
        <v/>
      </c>
      <c r="H33" s="21"/>
      <c r="I33" s="21"/>
      <c r="J33" s="24" t="str">
        <f aca="false">IF(H33="","",IF(H33&lt;=I33,"발주필요","정상"))</f>
        <v/>
      </c>
      <c r="K33" s="21"/>
      <c r="L33" s="23"/>
      <c r="M33" s="22"/>
      <c r="N33" s="24" t="str">
        <f aca="false">IF(A33="","",SUMIF(주문관리!$F:$F,A33,주문관리!$H:$H))</f>
        <v/>
      </c>
    </row>
    <row r="34" customFormat="false" ht="15" hidden="false" customHeight="true" outlineLevel="0" collapsed="false">
      <c r="A34" s="26"/>
      <c r="B34" s="27"/>
      <c r="C34" s="28"/>
      <c r="D34" s="26"/>
      <c r="E34" s="43"/>
      <c r="F34" s="43"/>
      <c r="G34" s="44" t="str">
        <f aca="false">IF(OR(E34="",F34=""),"",(F34-E34)/F34)</f>
        <v/>
      </c>
      <c r="H34" s="26"/>
      <c r="I34" s="26"/>
      <c r="J34" s="29" t="str">
        <f aca="false">IF(H34="","",IF(H34&lt;=I34,"발주필요","정상"))</f>
        <v/>
      </c>
      <c r="K34" s="26"/>
      <c r="L34" s="28"/>
      <c r="M34" s="27"/>
      <c r="N34" s="29" t="str">
        <f aca="false">IF(A34="","",SUMIF(주문관리!$F:$F,A34,주문관리!$H:$H))</f>
        <v/>
      </c>
    </row>
    <row r="35" customFormat="false" ht="15" hidden="false" customHeight="true" outlineLevel="0" collapsed="false">
      <c r="A35" s="21"/>
      <c r="B35" s="22"/>
      <c r="C35" s="23"/>
      <c r="D35" s="21"/>
      <c r="E35" s="40"/>
      <c r="F35" s="40"/>
      <c r="G35" s="41" t="str">
        <f aca="false">IF(OR(E35="",F35=""),"",(F35-E35)/F35)</f>
        <v/>
      </c>
      <c r="H35" s="21"/>
      <c r="I35" s="21"/>
      <c r="J35" s="24" t="str">
        <f aca="false">IF(H35="","",IF(H35&lt;=I35,"발주필요","정상"))</f>
        <v/>
      </c>
      <c r="K35" s="21"/>
      <c r="L35" s="23"/>
      <c r="M35" s="22"/>
      <c r="N35" s="24" t="str">
        <f aca="false">IF(A35="","",SUMIF(주문관리!$F:$F,A35,주문관리!$H:$H))</f>
        <v/>
      </c>
    </row>
    <row r="36" customFormat="false" ht="15" hidden="false" customHeight="true" outlineLevel="0" collapsed="false">
      <c r="A36" s="26"/>
      <c r="B36" s="27"/>
      <c r="C36" s="28"/>
      <c r="D36" s="26"/>
      <c r="E36" s="43"/>
      <c r="F36" s="43"/>
      <c r="G36" s="44" t="str">
        <f aca="false">IF(OR(E36="",F36=""),"",(F36-E36)/F36)</f>
        <v/>
      </c>
      <c r="H36" s="26"/>
      <c r="I36" s="26"/>
      <c r="J36" s="29" t="str">
        <f aca="false">IF(H36="","",IF(H36&lt;=I36,"발주필요","정상"))</f>
        <v/>
      </c>
      <c r="K36" s="26"/>
      <c r="L36" s="28"/>
      <c r="M36" s="27"/>
      <c r="N36" s="29" t="str">
        <f aca="false">IF(A36="","",SUMIF(주문관리!$F:$F,A36,주문관리!$H:$H))</f>
        <v/>
      </c>
    </row>
    <row r="37" customFormat="false" ht="15" hidden="false" customHeight="true" outlineLevel="0" collapsed="false">
      <c r="A37" s="21"/>
      <c r="B37" s="22"/>
      <c r="C37" s="23"/>
      <c r="D37" s="21"/>
      <c r="E37" s="40"/>
      <c r="F37" s="40"/>
      <c r="G37" s="41" t="str">
        <f aca="false">IF(OR(E37="",F37=""),"",(F37-E37)/F37)</f>
        <v/>
      </c>
      <c r="H37" s="21"/>
      <c r="I37" s="21"/>
      <c r="J37" s="24" t="str">
        <f aca="false">IF(H37="","",IF(H37&lt;=I37,"발주필요","정상"))</f>
        <v/>
      </c>
      <c r="K37" s="21"/>
      <c r="L37" s="23"/>
      <c r="M37" s="22"/>
      <c r="N37" s="24" t="str">
        <f aca="false">IF(A37="","",SUMIF(주문관리!$F:$F,A37,주문관리!$H:$H))</f>
        <v/>
      </c>
    </row>
    <row r="38" customFormat="false" ht="15" hidden="false" customHeight="true" outlineLevel="0" collapsed="false">
      <c r="A38" s="26"/>
      <c r="B38" s="27"/>
      <c r="C38" s="28"/>
      <c r="D38" s="26"/>
      <c r="E38" s="43"/>
      <c r="F38" s="43"/>
      <c r="G38" s="44" t="str">
        <f aca="false">IF(OR(E38="",F38=""),"",(F38-E38)/F38)</f>
        <v/>
      </c>
      <c r="H38" s="26"/>
      <c r="I38" s="26"/>
      <c r="J38" s="29" t="str">
        <f aca="false">IF(H38="","",IF(H38&lt;=I38,"발주필요","정상"))</f>
        <v/>
      </c>
      <c r="K38" s="26"/>
      <c r="L38" s="28"/>
      <c r="M38" s="27"/>
      <c r="N38" s="29" t="str">
        <f aca="false">IF(A38="","",SUMIF(주문관리!$F:$F,A38,주문관리!$H:$H))</f>
        <v/>
      </c>
    </row>
    <row r="39" customFormat="false" ht="15" hidden="false" customHeight="true" outlineLevel="0" collapsed="false">
      <c r="A39" s="21"/>
      <c r="B39" s="22"/>
      <c r="C39" s="23"/>
      <c r="D39" s="21"/>
      <c r="E39" s="40"/>
      <c r="F39" s="40"/>
      <c r="G39" s="41" t="str">
        <f aca="false">IF(OR(E39="",F39=""),"",(F39-E39)/F39)</f>
        <v/>
      </c>
      <c r="H39" s="21"/>
      <c r="I39" s="21"/>
      <c r="J39" s="24" t="str">
        <f aca="false">IF(H39="","",IF(H39&lt;=I39,"발주필요","정상"))</f>
        <v/>
      </c>
      <c r="K39" s="21"/>
      <c r="L39" s="23"/>
      <c r="M39" s="22"/>
      <c r="N39" s="24" t="str">
        <f aca="false">IF(A39="","",SUMIF(주문관리!$F:$F,A39,주문관리!$H:$H))</f>
        <v/>
      </c>
    </row>
    <row r="40" customFormat="false" ht="15" hidden="false" customHeight="true" outlineLevel="0" collapsed="false">
      <c r="A40" s="26"/>
      <c r="B40" s="27"/>
      <c r="C40" s="28"/>
      <c r="D40" s="26"/>
      <c r="E40" s="43"/>
      <c r="F40" s="43"/>
      <c r="G40" s="44" t="str">
        <f aca="false">IF(OR(E40="",F40=""),"",(F40-E40)/F40)</f>
        <v/>
      </c>
      <c r="H40" s="26"/>
      <c r="I40" s="26"/>
      <c r="J40" s="29" t="str">
        <f aca="false">IF(H40="","",IF(H40&lt;=I40,"발주필요","정상"))</f>
        <v/>
      </c>
      <c r="K40" s="26"/>
      <c r="L40" s="28"/>
      <c r="M40" s="27"/>
      <c r="N40" s="29" t="str">
        <f aca="false">IF(A40="","",SUMIF(주문관리!$F:$F,A40,주문관리!$H:$H))</f>
        <v/>
      </c>
    </row>
    <row r="41" customFormat="false" ht="15" hidden="false" customHeight="true" outlineLevel="0" collapsed="false">
      <c r="A41" s="21"/>
      <c r="B41" s="22"/>
      <c r="C41" s="23"/>
      <c r="D41" s="21"/>
      <c r="E41" s="40"/>
      <c r="F41" s="40"/>
      <c r="G41" s="41" t="str">
        <f aca="false">IF(OR(E41="",F41=""),"",(F41-E41)/F41)</f>
        <v/>
      </c>
      <c r="H41" s="21"/>
      <c r="I41" s="21"/>
      <c r="J41" s="24" t="str">
        <f aca="false">IF(H41="","",IF(H41&lt;=I41,"발주필요","정상"))</f>
        <v/>
      </c>
      <c r="K41" s="21"/>
      <c r="L41" s="23"/>
      <c r="M41" s="22"/>
      <c r="N41" s="24" t="str">
        <f aca="false">IF(A41="","",SUMIF(주문관리!$F:$F,A41,주문관리!$H:$H))</f>
        <v/>
      </c>
    </row>
    <row r="42" customFormat="false" ht="15" hidden="false" customHeight="true" outlineLevel="0" collapsed="false">
      <c r="A42" s="26"/>
      <c r="B42" s="27"/>
      <c r="C42" s="28"/>
      <c r="D42" s="26"/>
      <c r="E42" s="43"/>
      <c r="F42" s="43"/>
      <c r="G42" s="44" t="str">
        <f aca="false">IF(OR(E42="",F42=""),"",(F42-E42)/F42)</f>
        <v/>
      </c>
      <c r="H42" s="26"/>
      <c r="I42" s="26"/>
      <c r="J42" s="29" t="str">
        <f aca="false">IF(H42="","",IF(H42&lt;=I42,"발주필요","정상"))</f>
        <v/>
      </c>
      <c r="K42" s="26"/>
      <c r="L42" s="28"/>
      <c r="M42" s="27"/>
      <c r="N42" s="29" t="str">
        <f aca="false">IF(A42="","",SUMIF(주문관리!$F:$F,A42,주문관리!$H:$H))</f>
        <v/>
      </c>
    </row>
    <row r="43" customFormat="false" ht="15" hidden="false" customHeight="true" outlineLevel="0" collapsed="false">
      <c r="A43" s="21"/>
      <c r="B43" s="22"/>
      <c r="C43" s="23"/>
      <c r="D43" s="21"/>
      <c r="E43" s="40"/>
      <c r="F43" s="40"/>
      <c r="G43" s="41" t="str">
        <f aca="false">IF(OR(E43="",F43=""),"",(F43-E43)/F43)</f>
        <v/>
      </c>
      <c r="H43" s="21"/>
      <c r="I43" s="21"/>
      <c r="J43" s="24" t="str">
        <f aca="false">IF(H43="","",IF(H43&lt;=I43,"발주필요","정상"))</f>
        <v/>
      </c>
      <c r="K43" s="21"/>
      <c r="L43" s="23"/>
      <c r="M43" s="22"/>
      <c r="N43" s="24" t="str">
        <f aca="false">IF(A43="","",SUMIF(주문관리!$F:$F,A43,주문관리!$H:$H))</f>
        <v/>
      </c>
    </row>
    <row r="44" customFormat="false" ht="15" hidden="false" customHeight="true" outlineLevel="0" collapsed="false">
      <c r="A44" s="26"/>
      <c r="B44" s="27"/>
      <c r="C44" s="28"/>
      <c r="D44" s="26"/>
      <c r="E44" s="43"/>
      <c r="F44" s="43"/>
      <c r="G44" s="44" t="str">
        <f aca="false">IF(OR(E44="",F44=""),"",(F44-E44)/F44)</f>
        <v/>
      </c>
      <c r="H44" s="26"/>
      <c r="I44" s="26"/>
      <c r="J44" s="29" t="str">
        <f aca="false">IF(H44="","",IF(H44&lt;=I44,"발주필요","정상"))</f>
        <v/>
      </c>
      <c r="K44" s="26"/>
      <c r="L44" s="28"/>
      <c r="M44" s="27"/>
      <c r="N44" s="29" t="str">
        <f aca="false">IF(A44="","",SUMIF(주문관리!$F:$F,A44,주문관리!$H:$H))</f>
        <v/>
      </c>
    </row>
    <row r="45" customFormat="false" ht="15" hidden="false" customHeight="true" outlineLevel="0" collapsed="false">
      <c r="A45" s="21"/>
      <c r="B45" s="22"/>
      <c r="C45" s="23"/>
      <c r="D45" s="21"/>
      <c r="E45" s="40"/>
      <c r="F45" s="40"/>
      <c r="G45" s="41" t="str">
        <f aca="false">IF(OR(E45="",F45=""),"",(F45-E45)/F45)</f>
        <v/>
      </c>
      <c r="H45" s="21"/>
      <c r="I45" s="21"/>
      <c r="J45" s="24" t="str">
        <f aca="false">IF(H45="","",IF(H45&lt;=I45,"발주필요","정상"))</f>
        <v/>
      </c>
      <c r="K45" s="21"/>
      <c r="L45" s="23"/>
      <c r="M45" s="22"/>
      <c r="N45" s="24" t="str">
        <f aca="false">IF(A45="","",SUMIF(주문관리!$F:$F,A45,주문관리!$H:$H))</f>
        <v/>
      </c>
    </row>
    <row r="46" customFormat="false" ht="15" hidden="false" customHeight="true" outlineLevel="0" collapsed="false">
      <c r="A46" s="26"/>
      <c r="B46" s="27"/>
      <c r="C46" s="28"/>
      <c r="D46" s="26"/>
      <c r="E46" s="43"/>
      <c r="F46" s="43"/>
      <c r="G46" s="44" t="str">
        <f aca="false">IF(OR(E46="",F46=""),"",(F46-E46)/F46)</f>
        <v/>
      </c>
      <c r="H46" s="26"/>
      <c r="I46" s="26"/>
      <c r="J46" s="29" t="str">
        <f aca="false">IF(H46="","",IF(H46&lt;=I46,"발주필요","정상"))</f>
        <v/>
      </c>
      <c r="K46" s="26"/>
      <c r="L46" s="28"/>
      <c r="M46" s="27"/>
      <c r="N46" s="29" t="str">
        <f aca="false">IF(A46="","",SUMIF(주문관리!$F:$F,A46,주문관리!$H:$H))</f>
        <v/>
      </c>
    </row>
    <row r="47" customFormat="false" ht="15" hidden="false" customHeight="true" outlineLevel="0" collapsed="false">
      <c r="A47" s="21"/>
      <c r="B47" s="22"/>
      <c r="C47" s="23"/>
      <c r="D47" s="21"/>
      <c r="E47" s="40"/>
      <c r="F47" s="40"/>
      <c r="G47" s="41" t="str">
        <f aca="false">IF(OR(E47="",F47=""),"",(F47-E47)/F47)</f>
        <v/>
      </c>
      <c r="H47" s="21"/>
      <c r="I47" s="21"/>
      <c r="J47" s="24" t="str">
        <f aca="false">IF(H47="","",IF(H47&lt;=I47,"발주필요","정상"))</f>
        <v/>
      </c>
      <c r="K47" s="21"/>
      <c r="L47" s="23"/>
      <c r="M47" s="22"/>
      <c r="N47" s="24" t="str">
        <f aca="false">IF(A47="","",SUMIF(주문관리!$F:$F,A47,주문관리!$H:$H))</f>
        <v/>
      </c>
    </row>
    <row r="48" customFormat="false" ht="15" hidden="false" customHeight="true" outlineLevel="0" collapsed="false">
      <c r="A48" s="26"/>
      <c r="B48" s="27"/>
      <c r="C48" s="28"/>
      <c r="D48" s="26"/>
      <c r="E48" s="43"/>
      <c r="F48" s="43"/>
      <c r="G48" s="44" t="str">
        <f aca="false">IF(OR(E48="",F48=""),"",(F48-E48)/F48)</f>
        <v/>
      </c>
      <c r="H48" s="26"/>
      <c r="I48" s="26"/>
      <c r="J48" s="29" t="str">
        <f aca="false">IF(H48="","",IF(H48&lt;=I48,"발주필요","정상"))</f>
        <v/>
      </c>
      <c r="K48" s="26"/>
      <c r="L48" s="28"/>
      <c r="M48" s="27"/>
      <c r="N48" s="29" t="str">
        <f aca="false">IF(A48="","",SUMIF(주문관리!$F:$F,A48,주문관리!$H:$H))</f>
        <v/>
      </c>
    </row>
    <row r="49" customFormat="false" ht="15" hidden="false" customHeight="true" outlineLevel="0" collapsed="false">
      <c r="A49" s="21"/>
      <c r="B49" s="22"/>
      <c r="C49" s="23"/>
      <c r="D49" s="21"/>
      <c r="E49" s="40"/>
      <c r="F49" s="40"/>
      <c r="G49" s="41" t="str">
        <f aca="false">IF(OR(E49="",F49=""),"",(F49-E49)/F49)</f>
        <v/>
      </c>
      <c r="H49" s="21"/>
      <c r="I49" s="21"/>
      <c r="J49" s="24" t="str">
        <f aca="false">IF(H49="","",IF(H49&lt;=I49,"발주필요","정상"))</f>
        <v/>
      </c>
      <c r="K49" s="21"/>
      <c r="L49" s="23"/>
      <c r="M49" s="22"/>
      <c r="N49" s="24" t="str">
        <f aca="false">IF(A49="","",SUMIF(주문관리!$F:$F,A49,주문관리!$H:$H))</f>
        <v/>
      </c>
    </row>
    <row r="50" customFormat="false" ht="15" hidden="false" customHeight="true" outlineLevel="0" collapsed="false">
      <c r="A50" s="26"/>
      <c r="B50" s="27"/>
      <c r="C50" s="28"/>
      <c r="D50" s="26"/>
      <c r="E50" s="43"/>
      <c r="F50" s="43"/>
      <c r="G50" s="44" t="str">
        <f aca="false">IF(OR(E50="",F50=""),"",(F50-E50)/F50)</f>
        <v/>
      </c>
      <c r="H50" s="26"/>
      <c r="I50" s="26"/>
      <c r="J50" s="29" t="str">
        <f aca="false">IF(H50="","",IF(H50&lt;=I50,"발주필요","정상"))</f>
        <v/>
      </c>
      <c r="K50" s="26"/>
      <c r="L50" s="28"/>
      <c r="M50" s="27"/>
      <c r="N50" s="29" t="str">
        <f aca="false">IF(A50="","",SUMIF(주문관리!$F:$F,A50,주문관리!$H:$H))</f>
        <v/>
      </c>
    </row>
    <row r="51" customFormat="false" ht="15" hidden="false" customHeight="true" outlineLevel="0" collapsed="false">
      <c r="A51" s="21"/>
      <c r="B51" s="22"/>
      <c r="C51" s="23"/>
      <c r="D51" s="21"/>
      <c r="E51" s="40"/>
      <c r="F51" s="40"/>
      <c r="G51" s="41" t="str">
        <f aca="false">IF(OR(E51="",F51=""),"",(F51-E51)/F51)</f>
        <v/>
      </c>
      <c r="H51" s="21"/>
      <c r="I51" s="21"/>
      <c r="J51" s="24" t="str">
        <f aca="false">IF(H51="","",IF(H51&lt;=I51,"발주필요","정상"))</f>
        <v/>
      </c>
      <c r="K51" s="21"/>
      <c r="L51" s="23"/>
      <c r="M51" s="22"/>
      <c r="N51" s="24" t="str">
        <f aca="false">IF(A51="","",SUMIF(주문관리!$F:$F,A51,주문관리!$H:$H))</f>
        <v/>
      </c>
    </row>
    <row r="52" customFormat="false" ht="15" hidden="false" customHeight="true" outlineLevel="0" collapsed="false">
      <c r="A52" s="26"/>
      <c r="B52" s="27"/>
      <c r="C52" s="28"/>
      <c r="D52" s="26"/>
      <c r="E52" s="43"/>
      <c r="F52" s="43"/>
      <c r="G52" s="44" t="str">
        <f aca="false">IF(OR(E52="",F52=""),"",(F52-E52)/F52)</f>
        <v/>
      </c>
      <c r="H52" s="26"/>
      <c r="I52" s="26"/>
      <c r="J52" s="29" t="str">
        <f aca="false">IF(H52="","",IF(H52&lt;=I52,"발주필요","정상"))</f>
        <v/>
      </c>
      <c r="K52" s="26"/>
      <c r="L52" s="28"/>
      <c r="M52" s="27"/>
      <c r="N52" s="29" t="str">
        <f aca="false">IF(A52="","",SUMIF(주문관리!$F:$F,A52,주문관리!$H:$H))</f>
        <v/>
      </c>
    </row>
    <row r="53" customFormat="false" ht="15" hidden="false" customHeight="true" outlineLevel="0" collapsed="false">
      <c r="A53" s="21"/>
      <c r="B53" s="22"/>
      <c r="C53" s="23"/>
      <c r="D53" s="21"/>
      <c r="E53" s="40"/>
      <c r="F53" s="40"/>
      <c r="G53" s="41" t="str">
        <f aca="false">IF(OR(E53="",F53=""),"",(F53-E53)/F53)</f>
        <v/>
      </c>
      <c r="H53" s="21"/>
      <c r="I53" s="21"/>
      <c r="J53" s="24" t="str">
        <f aca="false">IF(H53="","",IF(H53&lt;=I53,"발주필요","정상"))</f>
        <v/>
      </c>
      <c r="K53" s="21"/>
      <c r="L53" s="23"/>
      <c r="M53" s="22"/>
      <c r="N53" s="24" t="str">
        <f aca="false">IF(A53="","",SUMIF(주문관리!$F:$F,A53,주문관리!$H:$H))</f>
        <v/>
      </c>
    </row>
    <row r="54" customFormat="false" ht="15" hidden="false" customHeight="true" outlineLevel="0" collapsed="false">
      <c r="A54" s="26"/>
      <c r="B54" s="27"/>
      <c r="C54" s="28"/>
      <c r="D54" s="26"/>
      <c r="E54" s="43"/>
      <c r="F54" s="43"/>
      <c r="G54" s="44" t="str">
        <f aca="false">IF(OR(E54="",F54=""),"",(F54-E54)/F54)</f>
        <v/>
      </c>
      <c r="H54" s="26"/>
      <c r="I54" s="26"/>
      <c r="J54" s="29" t="str">
        <f aca="false">IF(H54="","",IF(H54&lt;=I54,"발주필요","정상"))</f>
        <v/>
      </c>
      <c r="K54" s="26"/>
      <c r="L54" s="28"/>
      <c r="M54" s="27"/>
      <c r="N54" s="29" t="str">
        <f aca="false">IF(A54="","",SUMIF(주문관리!$F:$F,A54,주문관리!$H:$H))</f>
        <v/>
      </c>
    </row>
    <row r="55" customFormat="false" ht="15" hidden="false" customHeight="true" outlineLevel="0" collapsed="false">
      <c r="A55" s="21"/>
      <c r="B55" s="22"/>
      <c r="C55" s="23"/>
      <c r="D55" s="21"/>
      <c r="E55" s="40"/>
      <c r="F55" s="40"/>
      <c r="G55" s="41" t="str">
        <f aca="false">IF(OR(E55="",F55=""),"",(F55-E55)/F55)</f>
        <v/>
      </c>
      <c r="H55" s="21"/>
      <c r="I55" s="21"/>
      <c r="J55" s="24" t="str">
        <f aca="false">IF(H55="","",IF(H55&lt;=I55,"발주필요","정상"))</f>
        <v/>
      </c>
      <c r="K55" s="21"/>
      <c r="L55" s="23"/>
      <c r="M55" s="22"/>
      <c r="N55" s="24" t="str">
        <f aca="false">IF(A55="","",SUMIF(주문관리!$F:$F,A55,주문관리!$H:$H))</f>
        <v/>
      </c>
    </row>
    <row r="56" customFormat="false" ht="15" hidden="false" customHeight="true" outlineLevel="0" collapsed="false">
      <c r="A56" s="26"/>
      <c r="B56" s="27"/>
      <c r="C56" s="28"/>
      <c r="D56" s="26"/>
      <c r="E56" s="43"/>
      <c r="F56" s="43"/>
      <c r="G56" s="44" t="str">
        <f aca="false">IF(OR(E56="",F56=""),"",(F56-E56)/F56)</f>
        <v/>
      </c>
      <c r="H56" s="26"/>
      <c r="I56" s="26"/>
      <c r="J56" s="29" t="str">
        <f aca="false">IF(H56="","",IF(H56&lt;=I56,"발주필요","정상"))</f>
        <v/>
      </c>
      <c r="K56" s="26"/>
      <c r="L56" s="28"/>
      <c r="M56" s="27"/>
      <c r="N56" s="29" t="str">
        <f aca="false">IF(A56="","",SUMIF(주문관리!$F:$F,A56,주문관리!$H:$H))</f>
        <v/>
      </c>
    </row>
    <row r="57" customFormat="false" ht="15" hidden="false" customHeight="true" outlineLevel="0" collapsed="false">
      <c r="A57" s="21"/>
      <c r="B57" s="22"/>
      <c r="C57" s="23"/>
      <c r="D57" s="21"/>
      <c r="E57" s="40"/>
      <c r="F57" s="40"/>
      <c r="G57" s="41" t="str">
        <f aca="false">IF(OR(E57="",F57=""),"",(F57-E57)/F57)</f>
        <v/>
      </c>
      <c r="H57" s="21"/>
      <c r="I57" s="21"/>
      <c r="J57" s="24" t="str">
        <f aca="false">IF(H57="","",IF(H57&lt;=I57,"발주필요","정상"))</f>
        <v/>
      </c>
      <c r="K57" s="21"/>
      <c r="L57" s="23"/>
      <c r="M57" s="22"/>
      <c r="N57" s="24" t="str">
        <f aca="false">IF(A57="","",SUMIF(주문관리!$F:$F,A57,주문관리!$H:$H))</f>
        <v/>
      </c>
    </row>
    <row r="58" customFormat="false" ht="15" hidden="false" customHeight="true" outlineLevel="0" collapsed="false">
      <c r="A58" s="26"/>
      <c r="B58" s="27"/>
      <c r="C58" s="28"/>
      <c r="D58" s="26"/>
      <c r="E58" s="43"/>
      <c r="F58" s="43"/>
      <c r="G58" s="44" t="str">
        <f aca="false">IF(OR(E58="",F58=""),"",(F58-E58)/F58)</f>
        <v/>
      </c>
      <c r="H58" s="26"/>
      <c r="I58" s="26"/>
      <c r="J58" s="29" t="str">
        <f aca="false">IF(H58="","",IF(H58&lt;=I58,"발주필요","정상"))</f>
        <v/>
      </c>
      <c r="K58" s="26"/>
      <c r="L58" s="28"/>
      <c r="M58" s="27"/>
      <c r="N58" s="29" t="str">
        <f aca="false">IF(A58="","",SUMIF(주문관리!$F:$F,A58,주문관리!$H:$H))</f>
        <v/>
      </c>
    </row>
    <row r="59" customFormat="false" ht="15" hidden="false" customHeight="true" outlineLevel="0" collapsed="false">
      <c r="A59" s="21"/>
      <c r="B59" s="22"/>
      <c r="C59" s="23"/>
      <c r="D59" s="21"/>
      <c r="E59" s="40"/>
      <c r="F59" s="40"/>
      <c r="G59" s="41" t="str">
        <f aca="false">IF(OR(E59="",F59=""),"",(F59-E59)/F59)</f>
        <v/>
      </c>
      <c r="H59" s="21"/>
      <c r="I59" s="21"/>
      <c r="J59" s="24" t="str">
        <f aca="false">IF(H59="","",IF(H59&lt;=I59,"발주필요","정상"))</f>
        <v/>
      </c>
      <c r="K59" s="21"/>
      <c r="L59" s="23"/>
      <c r="M59" s="22"/>
      <c r="N59" s="24" t="str">
        <f aca="false">IF(A59="","",SUMIF(주문관리!$F:$F,A59,주문관리!$H:$H))</f>
        <v/>
      </c>
    </row>
    <row r="60" customFormat="false" ht="15" hidden="false" customHeight="true" outlineLevel="0" collapsed="false">
      <c r="A60" s="26"/>
      <c r="B60" s="27"/>
      <c r="C60" s="28"/>
      <c r="D60" s="26"/>
      <c r="E60" s="43"/>
      <c r="F60" s="43"/>
      <c r="G60" s="44" t="str">
        <f aca="false">IF(OR(E60="",F60=""),"",(F60-E60)/F60)</f>
        <v/>
      </c>
      <c r="H60" s="26"/>
      <c r="I60" s="26"/>
      <c r="J60" s="29" t="str">
        <f aca="false">IF(H60="","",IF(H60&lt;=I60,"발주필요","정상"))</f>
        <v/>
      </c>
      <c r="K60" s="26"/>
      <c r="L60" s="28"/>
      <c r="M60" s="27"/>
      <c r="N60" s="29" t="str">
        <f aca="false">IF(A60="","",SUMIF(주문관리!$F:$F,A60,주문관리!$H:$H))</f>
        <v/>
      </c>
    </row>
    <row r="61" customFormat="false" ht="15" hidden="false" customHeight="true" outlineLevel="0" collapsed="false">
      <c r="A61" s="21"/>
      <c r="B61" s="22"/>
      <c r="C61" s="23"/>
      <c r="D61" s="21"/>
      <c r="E61" s="40"/>
      <c r="F61" s="40"/>
      <c r="G61" s="41" t="str">
        <f aca="false">IF(OR(E61="",F61=""),"",(F61-E61)/F61)</f>
        <v/>
      </c>
      <c r="H61" s="21"/>
      <c r="I61" s="21"/>
      <c r="J61" s="24" t="str">
        <f aca="false">IF(H61="","",IF(H61&lt;=I61,"발주필요","정상"))</f>
        <v/>
      </c>
      <c r="K61" s="21"/>
      <c r="L61" s="23"/>
      <c r="M61" s="22"/>
      <c r="N61" s="24" t="str">
        <f aca="false">IF(A61="","",SUMIF(주문관리!$F:$F,A61,주문관리!$H:$H))</f>
        <v/>
      </c>
    </row>
    <row r="62" customFormat="false" ht="15" hidden="false" customHeight="true" outlineLevel="0" collapsed="false">
      <c r="A62" s="26"/>
      <c r="B62" s="27"/>
      <c r="C62" s="28"/>
      <c r="D62" s="26"/>
      <c r="E62" s="43"/>
      <c r="F62" s="43"/>
      <c r="G62" s="44" t="str">
        <f aca="false">IF(OR(E62="",F62=""),"",(F62-E62)/F62)</f>
        <v/>
      </c>
      <c r="H62" s="26"/>
      <c r="I62" s="26"/>
      <c r="J62" s="29" t="str">
        <f aca="false">IF(H62="","",IF(H62&lt;=I62,"발주필요","정상"))</f>
        <v/>
      </c>
      <c r="K62" s="26"/>
      <c r="L62" s="28"/>
      <c r="M62" s="27"/>
      <c r="N62" s="29" t="str">
        <f aca="false">IF(A62="","",SUMIF(주문관리!$F:$F,A62,주문관리!$H:$H))</f>
        <v/>
      </c>
    </row>
    <row r="63" customFormat="false" ht="15" hidden="false" customHeight="true" outlineLevel="0" collapsed="false">
      <c r="A63" s="21"/>
      <c r="B63" s="22"/>
      <c r="C63" s="23"/>
      <c r="D63" s="21"/>
      <c r="E63" s="40"/>
      <c r="F63" s="40"/>
      <c r="G63" s="41" t="str">
        <f aca="false">IF(OR(E63="",F63=""),"",(F63-E63)/F63)</f>
        <v/>
      </c>
      <c r="H63" s="21"/>
      <c r="I63" s="21"/>
      <c r="J63" s="24" t="str">
        <f aca="false">IF(H63="","",IF(H63&lt;=I63,"발주필요","정상"))</f>
        <v/>
      </c>
      <c r="K63" s="21"/>
      <c r="L63" s="23"/>
      <c r="M63" s="22"/>
      <c r="N63" s="24" t="str">
        <f aca="false">IF(A63="","",SUMIF(주문관리!$F:$F,A63,주문관리!$H:$H))</f>
        <v/>
      </c>
    </row>
    <row r="64" customFormat="false" ht="15" hidden="false" customHeight="true" outlineLevel="0" collapsed="false">
      <c r="A64" s="26"/>
      <c r="B64" s="27"/>
      <c r="C64" s="28"/>
      <c r="D64" s="26"/>
      <c r="E64" s="43"/>
      <c r="F64" s="43"/>
      <c r="G64" s="44" t="str">
        <f aca="false">IF(OR(E64="",F64=""),"",(F64-E64)/F64)</f>
        <v/>
      </c>
      <c r="H64" s="26"/>
      <c r="I64" s="26"/>
      <c r="J64" s="29" t="str">
        <f aca="false">IF(H64="","",IF(H64&lt;=I64,"발주필요","정상"))</f>
        <v/>
      </c>
      <c r="K64" s="26"/>
      <c r="L64" s="28"/>
      <c r="M64" s="27"/>
      <c r="N64" s="29" t="str">
        <f aca="false">IF(A64="","",SUMIF(주문관리!$F:$F,A64,주문관리!$H:$H))</f>
        <v/>
      </c>
    </row>
  </sheetData>
  <mergeCells count="2">
    <mergeCell ref="A1:N1"/>
    <mergeCell ref="A2:N2"/>
  </mergeCells>
  <dataValidations count="2">
    <dataValidation allowBlank="true" errorStyle="stop" operator="between" showDropDown="false" showErrorMessage="false" showInputMessage="false" sqref="B5:B64" type="list">
      <formula1>"의류,잡화,전자,뷰티,식품,기타"</formula1>
      <formula2>0</formula2>
    </dataValidation>
    <dataValidation allowBlank="true" errorStyle="stop" operator="between" showDropDown="false" showErrorMessage="false" showInputMessage="false" sqref="M5:M64" type="list">
      <formula1>"진열,숨김,품절,단종"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1"/>
    <col collapsed="false" customWidth="true" hidden="false" outlineLevel="0" max="4" min="4" style="1" width="9"/>
    <col collapsed="false" customWidth="true" hidden="false" outlineLevel="0" max="5" min="5" style="1" width="18"/>
    <col collapsed="false" customWidth="true" hidden="false" outlineLevel="0" max="6" min="6" style="1" width="13"/>
    <col collapsed="false" customWidth="true" hidden="false" outlineLevel="0" max="7" min="7" style="1" width="10"/>
    <col collapsed="false" customWidth="true" hidden="false" outlineLevel="0" max="8" min="8" style="1" width="11"/>
    <col collapsed="false" customWidth="true" hidden="false" outlineLevel="0" max="9" min="9" style="1" width="10"/>
    <col collapsed="false" customWidth="true" hidden="false" outlineLevel="0" max="10" min="10" style="1" width="9"/>
    <col collapsed="false" customWidth="true" hidden="false" outlineLevel="0" max="11" min="11" style="1" width="24"/>
    <col collapsed="false" customWidth="true" hidden="false" outlineLevel="0" max="12" min="12" style="1" width="26"/>
    <col collapsed="false" customWidth="true" hidden="false" outlineLevel="0" max="13" min="13" style="1" width="9"/>
    <col collapsed="false" customWidth="true" hidden="false" outlineLevel="0" max="14" min="14" style="1" width="22"/>
    <col collapsed="false" customWidth="true" hidden="false" outlineLevel="0" max="15" min="15" style="1" width="11"/>
  </cols>
  <sheetData>
    <row r="1" customFormat="false" ht="24" hidden="false" customHeight="true" outlineLevel="0" collapsed="false">
      <c r="A1" s="45" t="s">
        <v>156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2" customFormat="false" ht="15.75" hidden="false" customHeight="true" outlineLevel="0" collapsed="false">
      <c r="A2" s="19" t="s">
        <v>157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4" customFormat="false" ht="15" hidden="false" customHeight="true" outlineLevel="0" collapsed="false">
      <c r="A4" s="46" t="s">
        <v>128</v>
      </c>
      <c r="B4" s="46" t="s">
        <v>158</v>
      </c>
      <c r="C4" s="46" t="s">
        <v>159</v>
      </c>
      <c r="D4" s="46" t="s">
        <v>118</v>
      </c>
      <c r="E4" s="46" t="s">
        <v>119</v>
      </c>
      <c r="F4" s="46" t="s">
        <v>120</v>
      </c>
      <c r="G4" s="46" t="s">
        <v>121</v>
      </c>
      <c r="H4" s="46" t="s">
        <v>160</v>
      </c>
      <c r="I4" s="46" t="s">
        <v>161</v>
      </c>
      <c r="J4" s="46" t="s">
        <v>124</v>
      </c>
      <c r="K4" s="46" t="s">
        <v>162</v>
      </c>
      <c r="L4" s="46" t="s">
        <v>163</v>
      </c>
      <c r="M4" s="46" t="s">
        <v>164</v>
      </c>
      <c r="N4" s="46" t="s">
        <v>165</v>
      </c>
      <c r="O4" s="46" t="s">
        <v>166</v>
      </c>
    </row>
    <row r="5" customFormat="false" ht="15" hidden="false" customHeight="true" outlineLevel="0" collapsed="false">
      <c r="A5" s="21" t="s">
        <v>167</v>
      </c>
      <c r="B5" s="21" t="s">
        <v>134</v>
      </c>
      <c r="C5" s="24" t="str">
        <f aca="false">IF(B5="","",IFERROR(VLOOKUP(B5,파트너관리!$A:$B,2,0),"미등록"))</f>
        <v>대한의류</v>
      </c>
      <c r="D5" s="22" t="s">
        <v>85</v>
      </c>
      <c r="E5" s="25" t="s">
        <v>168</v>
      </c>
      <c r="F5" s="22" t="s">
        <v>169</v>
      </c>
      <c r="G5" s="40" t="n">
        <v>16000</v>
      </c>
      <c r="H5" s="40" t="n">
        <v>38000</v>
      </c>
      <c r="I5" s="41" t="n">
        <f aca="false">IF(OR(G5="",H5=""),"",(H5-G5)/H5)</f>
        <v>0.578947368421053</v>
      </c>
      <c r="J5" s="21" t="n">
        <v>40</v>
      </c>
      <c r="K5" s="23" t="s">
        <v>170</v>
      </c>
      <c r="L5" s="25" t="s">
        <v>171</v>
      </c>
      <c r="M5" s="22" t="s">
        <v>172</v>
      </c>
      <c r="N5" s="23"/>
      <c r="O5" s="21"/>
    </row>
    <row r="6" customFormat="false" ht="15" hidden="false" customHeight="true" outlineLevel="0" collapsed="false">
      <c r="A6" s="47" t="s">
        <v>173</v>
      </c>
      <c r="B6" s="47" t="s">
        <v>144</v>
      </c>
      <c r="C6" s="48" t="str">
        <f aca="false">IF(B6="","",IFERROR(VLOOKUP(B6,파트너관리!$A:$B,2,0),"미등록"))</f>
        <v>뷰티앤백</v>
      </c>
      <c r="D6" s="49" t="s">
        <v>106</v>
      </c>
      <c r="E6" s="50" t="s">
        <v>174</v>
      </c>
      <c r="F6" s="47" t="s">
        <v>175</v>
      </c>
      <c r="G6" s="51" t="n">
        <v>7000</v>
      </c>
      <c r="H6" s="51" t="n">
        <v>21000</v>
      </c>
      <c r="I6" s="52" t="n">
        <f aca="false">IF(OR(G6="",H6=""),"",(H6-G6)/H6)</f>
        <v>0.666666666666667</v>
      </c>
      <c r="J6" s="47" t="n">
        <v>60</v>
      </c>
      <c r="K6" s="53" t="s">
        <v>176</v>
      </c>
      <c r="L6" s="50" t="s">
        <v>177</v>
      </c>
      <c r="M6" s="49" t="s">
        <v>178</v>
      </c>
      <c r="N6" s="50" t="s">
        <v>179</v>
      </c>
      <c r="O6" s="47" t="s">
        <v>180</v>
      </c>
    </row>
    <row r="7" customFormat="false" ht="15" hidden="false" customHeight="true" outlineLevel="0" collapsed="false">
      <c r="A7" s="21" t="s">
        <v>181</v>
      </c>
      <c r="B7" s="21" t="s">
        <v>149</v>
      </c>
      <c r="C7" s="24" t="str">
        <f aca="false">IF(B7="","",IFERROR(VLOOKUP(B7,파트너관리!$A:$B,2,0),"미등록"))</f>
        <v>테크원</v>
      </c>
      <c r="D7" s="22" t="s">
        <v>103</v>
      </c>
      <c r="E7" s="23" t="s">
        <v>182</v>
      </c>
      <c r="F7" s="21" t="s">
        <v>183</v>
      </c>
      <c r="G7" s="40" t="n">
        <v>9000</v>
      </c>
      <c r="H7" s="40" t="n">
        <v>25000</v>
      </c>
      <c r="I7" s="41" t="n">
        <f aca="false">IF(OR(G7="",H7=""),"",(H7-G7)/H7)</f>
        <v>0.64</v>
      </c>
      <c r="J7" s="21" t="n">
        <v>25</v>
      </c>
      <c r="K7" s="23" t="s">
        <v>184</v>
      </c>
      <c r="L7" s="23" t="s">
        <v>185</v>
      </c>
      <c r="M7" s="22" t="s">
        <v>186</v>
      </c>
      <c r="N7" s="25" t="s">
        <v>187</v>
      </c>
      <c r="O7" s="21"/>
    </row>
    <row r="8" customFormat="false" ht="15" hidden="false" customHeight="true" outlineLevel="0" collapsed="false">
      <c r="A8" s="47"/>
      <c r="B8" s="47"/>
      <c r="C8" s="48" t="str">
        <f aca="false">IF(B8="","",IFERROR(VLOOKUP(B8,파트너관리!$A:$B,2,0),"미등록"))</f>
        <v/>
      </c>
      <c r="D8" s="49"/>
      <c r="E8" s="53"/>
      <c r="F8" s="47"/>
      <c r="G8" s="51"/>
      <c r="H8" s="51"/>
      <c r="I8" s="52" t="str">
        <f aca="false">IF(OR(G8="",H8=""),"",(H8-G8)/H8)</f>
        <v/>
      </c>
      <c r="J8" s="47"/>
      <c r="K8" s="53"/>
      <c r="L8" s="53"/>
      <c r="M8" s="49"/>
      <c r="N8" s="53"/>
      <c r="O8" s="47"/>
    </row>
    <row r="9" customFormat="false" ht="15" hidden="false" customHeight="true" outlineLevel="0" collapsed="false">
      <c r="A9" s="21"/>
      <c r="B9" s="21"/>
      <c r="C9" s="24" t="str">
        <f aca="false">IF(B9="","",IFERROR(VLOOKUP(B9,파트너관리!$A:$B,2,0),"미등록"))</f>
        <v/>
      </c>
      <c r="D9" s="22"/>
      <c r="E9" s="23"/>
      <c r="F9" s="21"/>
      <c r="G9" s="40"/>
      <c r="H9" s="40"/>
      <c r="I9" s="41" t="str">
        <f aca="false">IF(OR(G9="",H9=""),"",(H9-G9)/H9)</f>
        <v/>
      </c>
      <c r="J9" s="21"/>
      <c r="K9" s="23"/>
      <c r="L9" s="23"/>
      <c r="M9" s="22"/>
      <c r="N9" s="23"/>
      <c r="O9" s="21"/>
    </row>
    <row r="10" customFormat="false" ht="15" hidden="false" customHeight="true" outlineLevel="0" collapsed="false">
      <c r="A10" s="47"/>
      <c r="B10" s="47"/>
      <c r="C10" s="48" t="str">
        <f aca="false">IF(B10="","",IFERROR(VLOOKUP(B10,파트너관리!$A:$B,2,0),"미등록"))</f>
        <v/>
      </c>
      <c r="D10" s="49"/>
      <c r="E10" s="53"/>
      <c r="F10" s="47"/>
      <c r="G10" s="51"/>
      <c r="H10" s="51"/>
      <c r="I10" s="52" t="str">
        <f aca="false">IF(OR(G10="",H10=""),"",(H10-G10)/H10)</f>
        <v/>
      </c>
      <c r="J10" s="47"/>
      <c r="K10" s="53"/>
      <c r="L10" s="53"/>
      <c r="M10" s="49"/>
      <c r="N10" s="53"/>
      <c r="O10" s="47"/>
    </row>
    <row r="11" customFormat="false" ht="15" hidden="false" customHeight="true" outlineLevel="0" collapsed="false">
      <c r="A11" s="21"/>
      <c r="B11" s="21"/>
      <c r="C11" s="24" t="str">
        <f aca="false">IF(B11="","",IFERROR(VLOOKUP(B11,파트너관리!$A:$B,2,0),"미등록"))</f>
        <v/>
      </c>
      <c r="D11" s="22"/>
      <c r="E11" s="23"/>
      <c r="F11" s="21"/>
      <c r="G11" s="40"/>
      <c r="H11" s="40"/>
      <c r="I11" s="41" t="str">
        <f aca="false">IF(OR(G11="",H11=""),"",(H11-G11)/H11)</f>
        <v/>
      </c>
      <c r="J11" s="21"/>
      <c r="K11" s="23"/>
      <c r="L11" s="23"/>
      <c r="M11" s="22"/>
      <c r="N11" s="23"/>
      <c r="O11" s="21"/>
    </row>
    <row r="12" customFormat="false" ht="15" hidden="false" customHeight="true" outlineLevel="0" collapsed="false">
      <c r="A12" s="47"/>
      <c r="B12" s="47"/>
      <c r="C12" s="48" t="str">
        <f aca="false">IF(B12="","",IFERROR(VLOOKUP(B12,파트너관리!$A:$B,2,0),"미등록"))</f>
        <v/>
      </c>
      <c r="D12" s="49"/>
      <c r="E12" s="53"/>
      <c r="F12" s="47"/>
      <c r="G12" s="51"/>
      <c r="H12" s="51"/>
      <c r="I12" s="52" t="str">
        <f aca="false">IF(OR(G12="",H12=""),"",(H12-G12)/H12)</f>
        <v/>
      </c>
      <c r="J12" s="47"/>
      <c r="K12" s="53"/>
      <c r="L12" s="53"/>
      <c r="M12" s="49"/>
      <c r="N12" s="53"/>
      <c r="O12" s="47"/>
    </row>
    <row r="13" customFormat="false" ht="15" hidden="false" customHeight="true" outlineLevel="0" collapsed="false">
      <c r="A13" s="21"/>
      <c r="B13" s="21"/>
      <c r="C13" s="24" t="str">
        <f aca="false">IF(B13="","",IFERROR(VLOOKUP(B13,파트너관리!$A:$B,2,0),"미등록"))</f>
        <v/>
      </c>
      <c r="D13" s="22"/>
      <c r="E13" s="23"/>
      <c r="F13" s="21"/>
      <c r="G13" s="40"/>
      <c r="H13" s="40"/>
      <c r="I13" s="41" t="str">
        <f aca="false">IF(OR(G13="",H13=""),"",(H13-G13)/H13)</f>
        <v/>
      </c>
      <c r="J13" s="21"/>
      <c r="K13" s="23"/>
      <c r="L13" s="23"/>
      <c r="M13" s="22"/>
      <c r="N13" s="23"/>
      <c r="O13" s="21"/>
    </row>
    <row r="14" customFormat="false" ht="15" hidden="false" customHeight="true" outlineLevel="0" collapsed="false">
      <c r="A14" s="47"/>
      <c r="B14" s="47"/>
      <c r="C14" s="48" t="str">
        <f aca="false">IF(B14="","",IFERROR(VLOOKUP(B14,파트너관리!$A:$B,2,0),"미등록"))</f>
        <v/>
      </c>
      <c r="D14" s="49"/>
      <c r="E14" s="53"/>
      <c r="F14" s="47"/>
      <c r="G14" s="51"/>
      <c r="H14" s="51"/>
      <c r="I14" s="52" t="str">
        <f aca="false">IF(OR(G14="",H14=""),"",(H14-G14)/H14)</f>
        <v/>
      </c>
      <c r="J14" s="47"/>
      <c r="K14" s="53"/>
      <c r="L14" s="53"/>
      <c r="M14" s="49"/>
      <c r="N14" s="53"/>
      <c r="O14" s="47"/>
    </row>
    <row r="15" customFormat="false" ht="15" hidden="false" customHeight="true" outlineLevel="0" collapsed="false">
      <c r="A15" s="21"/>
      <c r="B15" s="21"/>
      <c r="C15" s="24" t="str">
        <f aca="false">IF(B15="","",IFERROR(VLOOKUP(B15,파트너관리!$A:$B,2,0),"미등록"))</f>
        <v/>
      </c>
      <c r="D15" s="22"/>
      <c r="E15" s="23"/>
      <c r="F15" s="21"/>
      <c r="G15" s="40"/>
      <c r="H15" s="40"/>
      <c r="I15" s="41" t="str">
        <f aca="false">IF(OR(G15="",H15=""),"",(H15-G15)/H15)</f>
        <v/>
      </c>
      <c r="J15" s="21"/>
      <c r="K15" s="23"/>
      <c r="L15" s="23"/>
      <c r="M15" s="22"/>
      <c r="N15" s="23"/>
      <c r="O15" s="21"/>
    </row>
    <row r="16" customFormat="false" ht="15" hidden="false" customHeight="true" outlineLevel="0" collapsed="false">
      <c r="A16" s="47"/>
      <c r="B16" s="47"/>
      <c r="C16" s="48" t="str">
        <f aca="false">IF(B16="","",IFERROR(VLOOKUP(B16,파트너관리!$A:$B,2,0),"미등록"))</f>
        <v/>
      </c>
      <c r="D16" s="49"/>
      <c r="E16" s="53"/>
      <c r="F16" s="47"/>
      <c r="G16" s="51"/>
      <c r="H16" s="51"/>
      <c r="I16" s="52" t="str">
        <f aca="false">IF(OR(G16="",H16=""),"",(H16-G16)/H16)</f>
        <v/>
      </c>
      <c r="J16" s="47"/>
      <c r="K16" s="53"/>
      <c r="L16" s="53"/>
      <c r="M16" s="49"/>
      <c r="N16" s="53"/>
      <c r="O16" s="47"/>
    </row>
    <row r="17" customFormat="false" ht="15" hidden="false" customHeight="true" outlineLevel="0" collapsed="false">
      <c r="A17" s="21"/>
      <c r="B17" s="21"/>
      <c r="C17" s="24" t="str">
        <f aca="false">IF(B17="","",IFERROR(VLOOKUP(B17,파트너관리!$A:$B,2,0),"미등록"))</f>
        <v/>
      </c>
      <c r="D17" s="22"/>
      <c r="E17" s="23"/>
      <c r="F17" s="21"/>
      <c r="G17" s="40"/>
      <c r="H17" s="40"/>
      <c r="I17" s="41" t="str">
        <f aca="false">IF(OR(G17="",H17=""),"",(H17-G17)/H17)</f>
        <v/>
      </c>
      <c r="J17" s="21"/>
      <c r="K17" s="23"/>
      <c r="L17" s="23"/>
      <c r="M17" s="22"/>
      <c r="N17" s="23"/>
      <c r="O17" s="21"/>
    </row>
    <row r="18" customFormat="false" ht="15" hidden="false" customHeight="true" outlineLevel="0" collapsed="false">
      <c r="A18" s="47"/>
      <c r="B18" s="47"/>
      <c r="C18" s="48" t="str">
        <f aca="false">IF(B18="","",IFERROR(VLOOKUP(B18,파트너관리!$A:$B,2,0),"미등록"))</f>
        <v/>
      </c>
      <c r="D18" s="49"/>
      <c r="E18" s="53"/>
      <c r="F18" s="47"/>
      <c r="G18" s="51"/>
      <c r="H18" s="51"/>
      <c r="I18" s="52" t="str">
        <f aca="false">IF(OR(G18="",H18=""),"",(H18-G18)/H18)</f>
        <v/>
      </c>
      <c r="J18" s="47"/>
      <c r="K18" s="53"/>
      <c r="L18" s="53"/>
      <c r="M18" s="49"/>
      <c r="N18" s="53"/>
      <c r="O18" s="47"/>
    </row>
    <row r="19" customFormat="false" ht="15" hidden="false" customHeight="true" outlineLevel="0" collapsed="false">
      <c r="A19" s="21"/>
      <c r="B19" s="21"/>
      <c r="C19" s="24" t="str">
        <f aca="false">IF(B19="","",IFERROR(VLOOKUP(B19,파트너관리!$A:$B,2,0),"미등록"))</f>
        <v/>
      </c>
      <c r="D19" s="22"/>
      <c r="E19" s="23"/>
      <c r="F19" s="21"/>
      <c r="G19" s="40"/>
      <c r="H19" s="40"/>
      <c r="I19" s="41" t="str">
        <f aca="false">IF(OR(G19="",H19=""),"",(H19-G19)/H19)</f>
        <v/>
      </c>
      <c r="J19" s="21"/>
      <c r="K19" s="23"/>
      <c r="L19" s="23"/>
      <c r="M19" s="22"/>
      <c r="N19" s="23"/>
      <c r="O19" s="21"/>
    </row>
    <row r="20" customFormat="false" ht="15" hidden="false" customHeight="true" outlineLevel="0" collapsed="false">
      <c r="A20" s="47"/>
      <c r="B20" s="47"/>
      <c r="C20" s="48" t="str">
        <f aca="false">IF(B20="","",IFERROR(VLOOKUP(B20,파트너관리!$A:$B,2,0),"미등록"))</f>
        <v/>
      </c>
      <c r="D20" s="49"/>
      <c r="E20" s="53"/>
      <c r="F20" s="47"/>
      <c r="G20" s="51"/>
      <c r="H20" s="51"/>
      <c r="I20" s="52" t="str">
        <f aca="false">IF(OR(G20="",H20=""),"",(H20-G20)/H20)</f>
        <v/>
      </c>
      <c r="J20" s="47"/>
      <c r="K20" s="53"/>
      <c r="L20" s="53"/>
      <c r="M20" s="49"/>
      <c r="N20" s="53"/>
      <c r="O20" s="47"/>
    </row>
    <row r="21" customFormat="false" ht="15" hidden="false" customHeight="true" outlineLevel="0" collapsed="false">
      <c r="A21" s="21"/>
      <c r="B21" s="21"/>
      <c r="C21" s="24" t="str">
        <f aca="false">IF(B21="","",IFERROR(VLOOKUP(B21,파트너관리!$A:$B,2,0),"미등록"))</f>
        <v/>
      </c>
      <c r="D21" s="22"/>
      <c r="E21" s="23"/>
      <c r="F21" s="21"/>
      <c r="G21" s="40"/>
      <c r="H21" s="40"/>
      <c r="I21" s="41" t="str">
        <f aca="false">IF(OR(G21="",H21=""),"",(H21-G21)/H21)</f>
        <v/>
      </c>
      <c r="J21" s="21"/>
      <c r="K21" s="23"/>
      <c r="L21" s="23"/>
      <c r="M21" s="22"/>
      <c r="N21" s="23"/>
      <c r="O21" s="21"/>
    </row>
    <row r="22" customFormat="false" ht="15" hidden="false" customHeight="true" outlineLevel="0" collapsed="false">
      <c r="A22" s="47"/>
      <c r="B22" s="47"/>
      <c r="C22" s="48" t="str">
        <f aca="false">IF(B22="","",IFERROR(VLOOKUP(B22,파트너관리!$A:$B,2,0),"미등록"))</f>
        <v/>
      </c>
      <c r="D22" s="49"/>
      <c r="E22" s="53"/>
      <c r="F22" s="47"/>
      <c r="G22" s="51"/>
      <c r="H22" s="51"/>
      <c r="I22" s="52" t="str">
        <f aca="false">IF(OR(G22="",H22=""),"",(H22-G22)/H22)</f>
        <v/>
      </c>
      <c r="J22" s="47"/>
      <c r="K22" s="53"/>
      <c r="L22" s="53"/>
      <c r="M22" s="49"/>
      <c r="N22" s="53"/>
      <c r="O22" s="47"/>
    </row>
    <row r="23" customFormat="false" ht="15" hidden="false" customHeight="true" outlineLevel="0" collapsed="false">
      <c r="A23" s="21"/>
      <c r="B23" s="21"/>
      <c r="C23" s="24" t="str">
        <f aca="false">IF(B23="","",IFERROR(VLOOKUP(B23,파트너관리!$A:$B,2,0),"미등록"))</f>
        <v/>
      </c>
      <c r="D23" s="22"/>
      <c r="E23" s="23"/>
      <c r="F23" s="21"/>
      <c r="G23" s="40"/>
      <c r="H23" s="40"/>
      <c r="I23" s="41" t="str">
        <f aca="false">IF(OR(G23="",H23=""),"",(H23-G23)/H23)</f>
        <v/>
      </c>
      <c r="J23" s="21"/>
      <c r="K23" s="23"/>
      <c r="L23" s="23"/>
      <c r="M23" s="22"/>
      <c r="N23" s="23"/>
      <c r="O23" s="21"/>
    </row>
    <row r="24" customFormat="false" ht="15" hidden="false" customHeight="true" outlineLevel="0" collapsed="false">
      <c r="A24" s="47"/>
      <c r="B24" s="47"/>
      <c r="C24" s="48" t="str">
        <f aca="false">IF(B24="","",IFERROR(VLOOKUP(B24,파트너관리!$A:$B,2,0),"미등록"))</f>
        <v/>
      </c>
      <c r="D24" s="49"/>
      <c r="E24" s="53"/>
      <c r="F24" s="47"/>
      <c r="G24" s="51"/>
      <c r="H24" s="51"/>
      <c r="I24" s="52" t="str">
        <f aca="false">IF(OR(G24="",H24=""),"",(H24-G24)/H24)</f>
        <v/>
      </c>
      <c r="J24" s="47"/>
      <c r="K24" s="53"/>
      <c r="L24" s="53"/>
      <c r="M24" s="49"/>
      <c r="N24" s="53"/>
      <c r="O24" s="47"/>
    </row>
    <row r="25" customFormat="false" ht="15" hidden="false" customHeight="true" outlineLevel="0" collapsed="false">
      <c r="A25" s="21"/>
      <c r="B25" s="21"/>
      <c r="C25" s="24" t="str">
        <f aca="false">IF(B25="","",IFERROR(VLOOKUP(B25,파트너관리!$A:$B,2,0),"미등록"))</f>
        <v/>
      </c>
      <c r="D25" s="22"/>
      <c r="E25" s="23"/>
      <c r="F25" s="21"/>
      <c r="G25" s="40"/>
      <c r="H25" s="40"/>
      <c r="I25" s="41" t="str">
        <f aca="false">IF(OR(G25="",H25=""),"",(H25-G25)/H25)</f>
        <v/>
      </c>
      <c r="J25" s="21"/>
      <c r="K25" s="23"/>
      <c r="L25" s="23"/>
      <c r="M25" s="22"/>
      <c r="N25" s="23"/>
      <c r="O25" s="21"/>
    </row>
    <row r="26" customFormat="false" ht="15" hidden="false" customHeight="true" outlineLevel="0" collapsed="false">
      <c r="A26" s="47"/>
      <c r="B26" s="47"/>
      <c r="C26" s="48" t="str">
        <f aca="false">IF(B26="","",IFERROR(VLOOKUP(B26,파트너관리!$A:$B,2,0),"미등록"))</f>
        <v/>
      </c>
      <c r="D26" s="49"/>
      <c r="E26" s="53"/>
      <c r="F26" s="47"/>
      <c r="G26" s="51"/>
      <c r="H26" s="51"/>
      <c r="I26" s="52" t="str">
        <f aca="false">IF(OR(G26="",H26=""),"",(H26-G26)/H26)</f>
        <v/>
      </c>
      <c r="J26" s="47"/>
      <c r="K26" s="53"/>
      <c r="L26" s="53"/>
      <c r="M26" s="49"/>
      <c r="N26" s="53"/>
      <c r="O26" s="47"/>
    </row>
    <row r="27" customFormat="false" ht="15" hidden="false" customHeight="true" outlineLevel="0" collapsed="false">
      <c r="A27" s="21"/>
      <c r="B27" s="21"/>
      <c r="C27" s="24" t="str">
        <f aca="false">IF(B27="","",IFERROR(VLOOKUP(B27,파트너관리!$A:$B,2,0),"미등록"))</f>
        <v/>
      </c>
      <c r="D27" s="22"/>
      <c r="E27" s="23"/>
      <c r="F27" s="21"/>
      <c r="G27" s="40"/>
      <c r="H27" s="40"/>
      <c r="I27" s="41" t="str">
        <f aca="false">IF(OR(G27="",H27=""),"",(H27-G27)/H27)</f>
        <v/>
      </c>
      <c r="J27" s="21"/>
      <c r="K27" s="23"/>
      <c r="L27" s="23"/>
      <c r="M27" s="22"/>
      <c r="N27" s="23"/>
      <c r="O27" s="21"/>
    </row>
    <row r="28" customFormat="false" ht="15" hidden="false" customHeight="true" outlineLevel="0" collapsed="false">
      <c r="A28" s="47"/>
      <c r="B28" s="47"/>
      <c r="C28" s="48" t="str">
        <f aca="false">IF(B28="","",IFERROR(VLOOKUP(B28,파트너관리!$A:$B,2,0),"미등록"))</f>
        <v/>
      </c>
      <c r="D28" s="49"/>
      <c r="E28" s="53"/>
      <c r="F28" s="47"/>
      <c r="G28" s="51"/>
      <c r="H28" s="51"/>
      <c r="I28" s="52" t="str">
        <f aca="false">IF(OR(G28="",H28=""),"",(H28-G28)/H28)</f>
        <v/>
      </c>
      <c r="J28" s="47"/>
      <c r="K28" s="53"/>
      <c r="L28" s="53"/>
      <c r="M28" s="49"/>
      <c r="N28" s="53"/>
      <c r="O28" s="47"/>
    </row>
    <row r="29" customFormat="false" ht="15" hidden="false" customHeight="true" outlineLevel="0" collapsed="false">
      <c r="A29" s="21"/>
      <c r="B29" s="21"/>
      <c r="C29" s="24" t="str">
        <f aca="false">IF(B29="","",IFERROR(VLOOKUP(B29,파트너관리!$A:$B,2,0),"미등록"))</f>
        <v/>
      </c>
      <c r="D29" s="22"/>
      <c r="E29" s="23"/>
      <c r="F29" s="21"/>
      <c r="G29" s="40"/>
      <c r="H29" s="40"/>
      <c r="I29" s="41" t="str">
        <f aca="false">IF(OR(G29="",H29=""),"",(H29-G29)/H29)</f>
        <v/>
      </c>
      <c r="J29" s="21"/>
      <c r="K29" s="23"/>
      <c r="L29" s="23"/>
      <c r="M29" s="22"/>
      <c r="N29" s="23"/>
      <c r="O29" s="21"/>
    </row>
    <row r="30" customFormat="false" ht="15" hidden="false" customHeight="true" outlineLevel="0" collapsed="false">
      <c r="A30" s="47"/>
      <c r="B30" s="47"/>
      <c r="C30" s="48" t="str">
        <f aca="false">IF(B30="","",IFERROR(VLOOKUP(B30,파트너관리!$A:$B,2,0),"미등록"))</f>
        <v/>
      </c>
      <c r="D30" s="49"/>
      <c r="E30" s="53"/>
      <c r="F30" s="47"/>
      <c r="G30" s="51"/>
      <c r="H30" s="51"/>
      <c r="I30" s="52" t="str">
        <f aca="false">IF(OR(G30="",H30=""),"",(H30-G30)/H30)</f>
        <v/>
      </c>
      <c r="J30" s="47"/>
      <c r="K30" s="53"/>
      <c r="L30" s="53"/>
      <c r="M30" s="49"/>
      <c r="N30" s="53"/>
      <c r="O30" s="47"/>
    </row>
    <row r="31" customFormat="false" ht="15" hidden="false" customHeight="true" outlineLevel="0" collapsed="false">
      <c r="A31" s="21"/>
      <c r="B31" s="21"/>
      <c r="C31" s="24" t="str">
        <f aca="false">IF(B31="","",IFERROR(VLOOKUP(B31,파트너관리!$A:$B,2,0),"미등록"))</f>
        <v/>
      </c>
      <c r="D31" s="22"/>
      <c r="E31" s="23"/>
      <c r="F31" s="21"/>
      <c r="G31" s="40"/>
      <c r="H31" s="40"/>
      <c r="I31" s="41" t="str">
        <f aca="false">IF(OR(G31="",H31=""),"",(H31-G31)/H31)</f>
        <v/>
      </c>
      <c r="J31" s="21"/>
      <c r="K31" s="23"/>
      <c r="L31" s="23"/>
      <c r="M31" s="22"/>
      <c r="N31" s="23"/>
      <c r="O31" s="21"/>
    </row>
    <row r="32" customFormat="false" ht="15" hidden="false" customHeight="true" outlineLevel="0" collapsed="false">
      <c r="A32" s="47"/>
      <c r="B32" s="47"/>
      <c r="C32" s="48" t="str">
        <f aca="false">IF(B32="","",IFERROR(VLOOKUP(B32,파트너관리!$A:$B,2,0),"미등록"))</f>
        <v/>
      </c>
      <c r="D32" s="49"/>
      <c r="E32" s="53"/>
      <c r="F32" s="47"/>
      <c r="G32" s="51"/>
      <c r="H32" s="51"/>
      <c r="I32" s="52" t="str">
        <f aca="false">IF(OR(G32="",H32=""),"",(H32-G32)/H32)</f>
        <v/>
      </c>
      <c r="J32" s="47"/>
      <c r="K32" s="53"/>
      <c r="L32" s="53"/>
      <c r="M32" s="49"/>
      <c r="N32" s="53"/>
      <c r="O32" s="47"/>
    </row>
    <row r="33" customFormat="false" ht="15" hidden="false" customHeight="true" outlineLevel="0" collapsed="false">
      <c r="A33" s="21"/>
      <c r="B33" s="21"/>
      <c r="C33" s="24" t="str">
        <f aca="false">IF(B33="","",IFERROR(VLOOKUP(B33,파트너관리!$A:$B,2,0),"미등록"))</f>
        <v/>
      </c>
      <c r="D33" s="22"/>
      <c r="E33" s="23"/>
      <c r="F33" s="21"/>
      <c r="G33" s="40"/>
      <c r="H33" s="40"/>
      <c r="I33" s="41" t="str">
        <f aca="false">IF(OR(G33="",H33=""),"",(H33-G33)/H33)</f>
        <v/>
      </c>
      <c r="J33" s="21"/>
      <c r="K33" s="23"/>
      <c r="L33" s="23"/>
      <c r="M33" s="22"/>
      <c r="N33" s="23"/>
      <c r="O33" s="21"/>
    </row>
    <row r="34" customFormat="false" ht="15" hidden="false" customHeight="true" outlineLevel="0" collapsed="false">
      <c r="A34" s="47"/>
      <c r="B34" s="47"/>
      <c r="C34" s="48" t="str">
        <f aca="false">IF(B34="","",IFERROR(VLOOKUP(B34,파트너관리!$A:$B,2,0),"미등록"))</f>
        <v/>
      </c>
      <c r="D34" s="49"/>
      <c r="E34" s="53"/>
      <c r="F34" s="47"/>
      <c r="G34" s="51"/>
      <c r="H34" s="51"/>
      <c r="I34" s="52" t="str">
        <f aca="false">IF(OR(G34="",H34=""),"",(H34-G34)/H34)</f>
        <v/>
      </c>
      <c r="J34" s="47"/>
      <c r="K34" s="53"/>
      <c r="L34" s="53"/>
      <c r="M34" s="49"/>
      <c r="N34" s="53"/>
      <c r="O34" s="47"/>
    </row>
    <row r="35" customFormat="false" ht="15" hidden="false" customHeight="true" outlineLevel="0" collapsed="false">
      <c r="A35" s="21"/>
      <c r="B35" s="21"/>
      <c r="C35" s="24" t="str">
        <f aca="false">IF(B35="","",IFERROR(VLOOKUP(B35,파트너관리!$A:$B,2,0),"미등록"))</f>
        <v/>
      </c>
      <c r="D35" s="22"/>
      <c r="E35" s="23"/>
      <c r="F35" s="21"/>
      <c r="G35" s="40"/>
      <c r="H35" s="40"/>
      <c r="I35" s="41" t="str">
        <f aca="false">IF(OR(G35="",H35=""),"",(H35-G35)/H35)</f>
        <v/>
      </c>
      <c r="J35" s="21"/>
      <c r="K35" s="23"/>
      <c r="L35" s="23"/>
      <c r="M35" s="22"/>
      <c r="N35" s="23"/>
      <c r="O35" s="21"/>
    </row>
    <row r="36" customFormat="false" ht="15" hidden="false" customHeight="true" outlineLevel="0" collapsed="false">
      <c r="A36" s="47"/>
      <c r="B36" s="47"/>
      <c r="C36" s="48" t="str">
        <f aca="false">IF(B36="","",IFERROR(VLOOKUP(B36,파트너관리!$A:$B,2,0),"미등록"))</f>
        <v/>
      </c>
      <c r="D36" s="49"/>
      <c r="E36" s="53"/>
      <c r="F36" s="47"/>
      <c r="G36" s="51"/>
      <c r="H36" s="51"/>
      <c r="I36" s="52" t="str">
        <f aca="false">IF(OR(G36="",H36=""),"",(H36-G36)/H36)</f>
        <v/>
      </c>
      <c r="J36" s="47"/>
      <c r="K36" s="53"/>
      <c r="L36" s="53"/>
      <c r="M36" s="49"/>
      <c r="N36" s="53"/>
      <c r="O36" s="47"/>
    </row>
    <row r="37" customFormat="false" ht="15" hidden="false" customHeight="true" outlineLevel="0" collapsed="false">
      <c r="A37" s="21"/>
      <c r="B37" s="21"/>
      <c r="C37" s="24" t="str">
        <f aca="false">IF(B37="","",IFERROR(VLOOKUP(B37,파트너관리!$A:$B,2,0),"미등록"))</f>
        <v/>
      </c>
      <c r="D37" s="22"/>
      <c r="E37" s="23"/>
      <c r="F37" s="21"/>
      <c r="G37" s="40"/>
      <c r="H37" s="40"/>
      <c r="I37" s="41" t="str">
        <f aca="false">IF(OR(G37="",H37=""),"",(H37-G37)/H37)</f>
        <v/>
      </c>
      <c r="J37" s="21"/>
      <c r="K37" s="23"/>
      <c r="L37" s="23"/>
      <c r="M37" s="22"/>
      <c r="N37" s="23"/>
      <c r="O37" s="21"/>
    </row>
    <row r="38" customFormat="false" ht="15" hidden="false" customHeight="true" outlineLevel="0" collapsed="false">
      <c r="A38" s="47"/>
      <c r="B38" s="47"/>
      <c r="C38" s="48" t="str">
        <f aca="false">IF(B38="","",IFERROR(VLOOKUP(B38,파트너관리!$A:$B,2,0),"미등록"))</f>
        <v/>
      </c>
      <c r="D38" s="49"/>
      <c r="E38" s="53"/>
      <c r="F38" s="47"/>
      <c r="G38" s="51"/>
      <c r="H38" s="51"/>
      <c r="I38" s="52" t="str">
        <f aca="false">IF(OR(G38="",H38=""),"",(H38-G38)/H38)</f>
        <v/>
      </c>
      <c r="J38" s="47"/>
      <c r="K38" s="53"/>
      <c r="L38" s="53"/>
      <c r="M38" s="49"/>
      <c r="N38" s="53"/>
      <c r="O38" s="47"/>
    </row>
    <row r="39" customFormat="false" ht="15" hidden="false" customHeight="true" outlineLevel="0" collapsed="false">
      <c r="A39" s="21"/>
      <c r="B39" s="21"/>
      <c r="C39" s="24" t="str">
        <f aca="false">IF(B39="","",IFERROR(VLOOKUP(B39,파트너관리!$A:$B,2,0),"미등록"))</f>
        <v/>
      </c>
      <c r="D39" s="22"/>
      <c r="E39" s="23"/>
      <c r="F39" s="21"/>
      <c r="G39" s="40"/>
      <c r="H39" s="40"/>
      <c r="I39" s="41" t="str">
        <f aca="false">IF(OR(G39="",H39=""),"",(H39-G39)/H39)</f>
        <v/>
      </c>
      <c r="J39" s="21"/>
      <c r="K39" s="23"/>
      <c r="L39" s="23"/>
      <c r="M39" s="22"/>
      <c r="N39" s="23"/>
      <c r="O39" s="21"/>
    </row>
    <row r="40" customFormat="false" ht="15" hidden="false" customHeight="true" outlineLevel="0" collapsed="false">
      <c r="A40" s="47"/>
      <c r="B40" s="47"/>
      <c r="C40" s="48" t="str">
        <f aca="false">IF(B40="","",IFERROR(VLOOKUP(B40,파트너관리!$A:$B,2,0),"미등록"))</f>
        <v/>
      </c>
      <c r="D40" s="49"/>
      <c r="E40" s="53"/>
      <c r="F40" s="47"/>
      <c r="G40" s="51"/>
      <c r="H40" s="51"/>
      <c r="I40" s="52" t="str">
        <f aca="false">IF(OR(G40="",H40=""),"",(H40-G40)/H40)</f>
        <v/>
      </c>
      <c r="J40" s="47"/>
      <c r="K40" s="53"/>
      <c r="L40" s="53"/>
      <c r="M40" s="49"/>
      <c r="N40" s="53"/>
      <c r="O40" s="47"/>
    </row>
    <row r="41" customFormat="false" ht="15" hidden="false" customHeight="true" outlineLevel="0" collapsed="false">
      <c r="A41" s="21"/>
      <c r="B41" s="21"/>
      <c r="C41" s="24" t="str">
        <f aca="false">IF(B41="","",IFERROR(VLOOKUP(B41,파트너관리!$A:$B,2,0),"미등록"))</f>
        <v/>
      </c>
      <c r="D41" s="22"/>
      <c r="E41" s="23"/>
      <c r="F41" s="21"/>
      <c r="G41" s="40"/>
      <c r="H41" s="40"/>
      <c r="I41" s="41" t="str">
        <f aca="false">IF(OR(G41="",H41=""),"",(H41-G41)/H41)</f>
        <v/>
      </c>
      <c r="J41" s="21"/>
      <c r="K41" s="23"/>
      <c r="L41" s="23"/>
      <c r="M41" s="22"/>
      <c r="N41" s="23"/>
      <c r="O41" s="21"/>
    </row>
    <row r="42" customFormat="false" ht="15" hidden="false" customHeight="true" outlineLevel="0" collapsed="false">
      <c r="A42" s="47"/>
      <c r="B42" s="47"/>
      <c r="C42" s="48" t="str">
        <f aca="false">IF(B42="","",IFERROR(VLOOKUP(B42,파트너관리!$A:$B,2,0),"미등록"))</f>
        <v/>
      </c>
      <c r="D42" s="49"/>
      <c r="E42" s="53"/>
      <c r="F42" s="47"/>
      <c r="G42" s="51"/>
      <c r="H42" s="51"/>
      <c r="I42" s="52" t="str">
        <f aca="false">IF(OR(G42="",H42=""),"",(H42-G42)/H42)</f>
        <v/>
      </c>
      <c r="J42" s="47"/>
      <c r="K42" s="53"/>
      <c r="L42" s="53"/>
      <c r="M42" s="49"/>
      <c r="N42" s="53"/>
      <c r="O42" s="47"/>
    </row>
    <row r="43" customFormat="false" ht="15" hidden="false" customHeight="true" outlineLevel="0" collapsed="false">
      <c r="A43" s="21"/>
      <c r="B43" s="21"/>
      <c r="C43" s="24" t="str">
        <f aca="false">IF(B43="","",IFERROR(VLOOKUP(B43,파트너관리!$A:$B,2,0),"미등록"))</f>
        <v/>
      </c>
      <c r="D43" s="22"/>
      <c r="E43" s="23"/>
      <c r="F43" s="21"/>
      <c r="G43" s="40"/>
      <c r="H43" s="40"/>
      <c r="I43" s="41" t="str">
        <f aca="false">IF(OR(G43="",H43=""),"",(H43-G43)/H43)</f>
        <v/>
      </c>
      <c r="J43" s="21"/>
      <c r="K43" s="23"/>
      <c r="L43" s="23"/>
      <c r="M43" s="22"/>
      <c r="N43" s="23"/>
      <c r="O43" s="21"/>
    </row>
    <row r="44" customFormat="false" ht="15" hidden="false" customHeight="true" outlineLevel="0" collapsed="false">
      <c r="A44" s="47"/>
      <c r="B44" s="47"/>
      <c r="C44" s="48" t="str">
        <f aca="false">IF(B44="","",IFERROR(VLOOKUP(B44,파트너관리!$A:$B,2,0),"미등록"))</f>
        <v/>
      </c>
      <c r="D44" s="49"/>
      <c r="E44" s="53"/>
      <c r="F44" s="47"/>
      <c r="G44" s="51"/>
      <c r="H44" s="51"/>
      <c r="I44" s="52" t="str">
        <f aca="false">IF(OR(G44="",H44=""),"",(H44-G44)/H44)</f>
        <v/>
      </c>
      <c r="J44" s="47"/>
      <c r="K44" s="53"/>
      <c r="L44" s="53"/>
      <c r="M44" s="49"/>
      <c r="N44" s="53"/>
      <c r="O44" s="47"/>
    </row>
    <row r="45" customFormat="false" ht="15" hidden="false" customHeight="true" outlineLevel="0" collapsed="false">
      <c r="A45" s="21"/>
      <c r="B45" s="21"/>
      <c r="C45" s="24" t="str">
        <f aca="false">IF(B45="","",IFERROR(VLOOKUP(B45,파트너관리!$A:$B,2,0),"미등록"))</f>
        <v/>
      </c>
      <c r="D45" s="22"/>
      <c r="E45" s="23"/>
      <c r="F45" s="21"/>
      <c r="G45" s="40"/>
      <c r="H45" s="40"/>
      <c r="I45" s="41" t="str">
        <f aca="false">IF(OR(G45="",H45=""),"",(H45-G45)/H45)</f>
        <v/>
      </c>
      <c r="J45" s="21"/>
      <c r="K45" s="23"/>
      <c r="L45" s="23"/>
      <c r="M45" s="22"/>
      <c r="N45" s="23"/>
      <c r="O45" s="21"/>
    </row>
    <row r="46" customFormat="false" ht="15" hidden="false" customHeight="true" outlineLevel="0" collapsed="false">
      <c r="A46" s="47"/>
      <c r="B46" s="47"/>
      <c r="C46" s="48" t="str">
        <f aca="false">IF(B46="","",IFERROR(VLOOKUP(B46,파트너관리!$A:$B,2,0),"미등록"))</f>
        <v/>
      </c>
      <c r="D46" s="49"/>
      <c r="E46" s="53"/>
      <c r="F46" s="47"/>
      <c r="G46" s="51"/>
      <c r="H46" s="51"/>
      <c r="I46" s="52" t="str">
        <f aca="false">IF(OR(G46="",H46=""),"",(H46-G46)/H46)</f>
        <v/>
      </c>
      <c r="J46" s="47"/>
      <c r="K46" s="53"/>
      <c r="L46" s="53"/>
      <c r="M46" s="49"/>
      <c r="N46" s="53"/>
      <c r="O46" s="47"/>
    </row>
    <row r="47" customFormat="false" ht="15" hidden="false" customHeight="true" outlineLevel="0" collapsed="false">
      <c r="A47" s="21"/>
      <c r="B47" s="21"/>
      <c r="C47" s="24" t="str">
        <f aca="false">IF(B47="","",IFERROR(VLOOKUP(B47,파트너관리!$A:$B,2,0),"미등록"))</f>
        <v/>
      </c>
      <c r="D47" s="22"/>
      <c r="E47" s="23"/>
      <c r="F47" s="21"/>
      <c r="G47" s="40"/>
      <c r="H47" s="40"/>
      <c r="I47" s="41" t="str">
        <f aca="false">IF(OR(G47="",H47=""),"",(H47-G47)/H47)</f>
        <v/>
      </c>
      <c r="J47" s="21"/>
      <c r="K47" s="23"/>
      <c r="L47" s="23"/>
      <c r="M47" s="22"/>
      <c r="N47" s="23"/>
      <c r="O47" s="21"/>
    </row>
    <row r="48" customFormat="false" ht="15" hidden="false" customHeight="true" outlineLevel="0" collapsed="false">
      <c r="A48" s="47"/>
      <c r="B48" s="47"/>
      <c r="C48" s="48" t="str">
        <f aca="false">IF(B48="","",IFERROR(VLOOKUP(B48,파트너관리!$A:$B,2,0),"미등록"))</f>
        <v/>
      </c>
      <c r="D48" s="49"/>
      <c r="E48" s="53"/>
      <c r="F48" s="47"/>
      <c r="G48" s="51"/>
      <c r="H48" s="51"/>
      <c r="I48" s="52" t="str">
        <f aca="false">IF(OR(G48="",H48=""),"",(H48-G48)/H48)</f>
        <v/>
      </c>
      <c r="J48" s="47"/>
      <c r="K48" s="53"/>
      <c r="L48" s="53"/>
      <c r="M48" s="49"/>
      <c r="N48" s="53"/>
      <c r="O48" s="47"/>
    </row>
    <row r="49" customFormat="false" ht="15" hidden="false" customHeight="true" outlineLevel="0" collapsed="false">
      <c r="A49" s="21"/>
      <c r="B49" s="21"/>
      <c r="C49" s="24" t="str">
        <f aca="false">IF(B49="","",IFERROR(VLOOKUP(B49,파트너관리!$A:$B,2,0),"미등록"))</f>
        <v/>
      </c>
      <c r="D49" s="22"/>
      <c r="E49" s="23"/>
      <c r="F49" s="21"/>
      <c r="G49" s="40"/>
      <c r="H49" s="40"/>
      <c r="I49" s="41" t="str">
        <f aca="false">IF(OR(G49="",H49=""),"",(H49-G49)/H49)</f>
        <v/>
      </c>
      <c r="J49" s="21"/>
      <c r="K49" s="23"/>
      <c r="L49" s="23"/>
      <c r="M49" s="22"/>
      <c r="N49" s="23"/>
      <c r="O49" s="21"/>
    </row>
    <row r="50" customFormat="false" ht="15" hidden="false" customHeight="true" outlineLevel="0" collapsed="false">
      <c r="A50" s="47"/>
      <c r="B50" s="47"/>
      <c r="C50" s="48" t="str">
        <f aca="false">IF(B50="","",IFERROR(VLOOKUP(B50,파트너관리!$A:$B,2,0),"미등록"))</f>
        <v/>
      </c>
      <c r="D50" s="49"/>
      <c r="E50" s="53"/>
      <c r="F50" s="47"/>
      <c r="G50" s="51"/>
      <c r="H50" s="51"/>
      <c r="I50" s="52" t="str">
        <f aca="false">IF(OR(G50="",H50=""),"",(H50-G50)/H50)</f>
        <v/>
      </c>
      <c r="J50" s="47"/>
      <c r="K50" s="53"/>
      <c r="L50" s="53"/>
      <c r="M50" s="49"/>
      <c r="N50" s="53"/>
      <c r="O50" s="47"/>
    </row>
    <row r="51" customFormat="false" ht="15" hidden="false" customHeight="true" outlineLevel="0" collapsed="false">
      <c r="A51" s="21"/>
      <c r="B51" s="21"/>
      <c r="C51" s="24" t="str">
        <f aca="false">IF(B51="","",IFERROR(VLOOKUP(B51,파트너관리!$A:$B,2,0),"미등록"))</f>
        <v/>
      </c>
      <c r="D51" s="22"/>
      <c r="E51" s="23"/>
      <c r="F51" s="21"/>
      <c r="G51" s="40"/>
      <c r="H51" s="40"/>
      <c r="I51" s="41" t="str">
        <f aca="false">IF(OR(G51="",H51=""),"",(H51-G51)/H51)</f>
        <v/>
      </c>
      <c r="J51" s="21"/>
      <c r="K51" s="23"/>
      <c r="L51" s="23"/>
      <c r="M51" s="22"/>
      <c r="N51" s="23"/>
      <c r="O51" s="21"/>
    </row>
    <row r="52" customFormat="false" ht="15" hidden="false" customHeight="true" outlineLevel="0" collapsed="false">
      <c r="A52" s="47"/>
      <c r="B52" s="47"/>
      <c r="C52" s="48" t="str">
        <f aca="false">IF(B52="","",IFERROR(VLOOKUP(B52,파트너관리!$A:$B,2,0),"미등록"))</f>
        <v/>
      </c>
      <c r="D52" s="49"/>
      <c r="E52" s="53"/>
      <c r="F52" s="47"/>
      <c r="G52" s="51"/>
      <c r="H52" s="51"/>
      <c r="I52" s="52" t="str">
        <f aca="false">IF(OR(G52="",H52=""),"",(H52-G52)/H52)</f>
        <v/>
      </c>
      <c r="J52" s="47"/>
      <c r="K52" s="53"/>
      <c r="L52" s="53"/>
      <c r="M52" s="49"/>
      <c r="N52" s="53"/>
      <c r="O52" s="47"/>
    </row>
    <row r="53" customFormat="false" ht="15" hidden="false" customHeight="true" outlineLevel="0" collapsed="false">
      <c r="A53" s="21"/>
      <c r="B53" s="21"/>
      <c r="C53" s="24" t="str">
        <f aca="false">IF(B53="","",IFERROR(VLOOKUP(B53,파트너관리!$A:$B,2,0),"미등록"))</f>
        <v/>
      </c>
      <c r="D53" s="22"/>
      <c r="E53" s="23"/>
      <c r="F53" s="21"/>
      <c r="G53" s="40"/>
      <c r="H53" s="40"/>
      <c r="I53" s="41" t="str">
        <f aca="false">IF(OR(G53="",H53=""),"",(H53-G53)/H53)</f>
        <v/>
      </c>
      <c r="J53" s="21"/>
      <c r="K53" s="23"/>
      <c r="L53" s="23"/>
      <c r="M53" s="22"/>
      <c r="N53" s="23"/>
      <c r="O53" s="21"/>
    </row>
    <row r="54" customFormat="false" ht="15" hidden="false" customHeight="true" outlineLevel="0" collapsed="false">
      <c r="A54" s="47"/>
      <c r="B54" s="47"/>
      <c r="C54" s="48" t="str">
        <f aca="false">IF(B54="","",IFERROR(VLOOKUP(B54,파트너관리!$A:$B,2,0),"미등록"))</f>
        <v/>
      </c>
      <c r="D54" s="49"/>
      <c r="E54" s="53"/>
      <c r="F54" s="47"/>
      <c r="G54" s="51"/>
      <c r="H54" s="51"/>
      <c r="I54" s="52" t="str">
        <f aca="false">IF(OR(G54="",H54=""),"",(H54-G54)/H54)</f>
        <v/>
      </c>
      <c r="J54" s="47"/>
      <c r="K54" s="53"/>
      <c r="L54" s="53"/>
      <c r="M54" s="49"/>
      <c r="N54" s="53"/>
      <c r="O54" s="47"/>
    </row>
    <row r="55" customFormat="false" ht="15" hidden="false" customHeight="true" outlineLevel="0" collapsed="false">
      <c r="A55" s="21"/>
      <c r="B55" s="21"/>
      <c r="C55" s="24" t="str">
        <f aca="false">IF(B55="","",IFERROR(VLOOKUP(B55,파트너관리!$A:$B,2,0),"미등록"))</f>
        <v/>
      </c>
      <c r="D55" s="22"/>
      <c r="E55" s="23"/>
      <c r="F55" s="21"/>
      <c r="G55" s="40"/>
      <c r="H55" s="40"/>
      <c r="I55" s="41" t="str">
        <f aca="false">IF(OR(G55="",H55=""),"",(H55-G55)/H55)</f>
        <v/>
      </c>
      <c r="J55" s="21"/>
      <c r="K55" s="23"/>
      <c r="L55" s="23"/>
      <c r="M55" s="22"/>
      <c r="N55" s="23"/>
      <c r="O55" s="21"/>
    </row>
    <row r="56" customFormat="false" ht="15" hidden="false" customHeight="true" outlineLevel="0" collapsed="false">
      <c r="A56" s="47"/>
      <c r="B56" s="47"/>
      <c r="C56" s="48" t="str">
        <f aca="false">IF(B56="","",IFERROR(VLOOKUP(B56,파트너관리!$A:$B,2,0),"미등록"))</f>
        <v/>
      </c>
      <c r="D56" s="49"/>
      <c r="E56" s="53"/>
      <c r="F56" s="47"/>
      <c r="G56" s="51"/>
      <c r="H56" s="51"/>
      <c r="I56" s="52" t="str">
        <f aca="false">IF(OR(G56="",H56=""),"",(H56-G56)/H56)</f>
        <v/>
      </c>
      <c r="J56" s="47"/>
      <c r="K56" s="53"/>
      <c r="L56" s="53"/>
      <c r="M56" s="49"/>
      <c r="N56" s="53"/>
      <c r="O56" s="47"/>
    </row>
    <row r="57" customFormat="false" ht="15" hidden="false" customHeight="true" outlineLevel="0" collapsed="false">
      <c r="A57" s="21"/>
      <c r="B57" s="21"/>
      <c r="C57" s="24" t="str">
        <f aca="false">IF(B57="","",IFERROR(VLOOKUP(B57,파트너관리!$A:$B,2,0),"미등록"))</f>
        <v/>
      </c>
      <c r="D57" s="22"/>
      <c r="E57" s="23"/>
      <c r="F57" s="21"/>
      <c r="G57" s="40"/>
      <c r="H57" s="40"/>
      <c r="I57" s="41" t="str">
        <f aca="false">IF(OR(G57="",H57=""),"",(H57-G57)/H57)</f>
        <v/>
      </c>
      <c r="J57" s="21"/>
      <c r="K57" s="23"/>
      <c r="L57" s="23"/>
      <c r="M57" s="22"/>
      <c r="N57" s="23"/>
      <c r="O57" s="21"/>
    </row>
    <row r="58" customFormat="false" ht="15" hidden="false" customHeight="true" outlineLevel="0" collapsed="false">
      <c r="A58" s="47"/>
      <c r="B58" s="47"/>
      <c r="C58" s="48" t="str">
        <f aca="false">IF(B58="","",IFERROR(VLOOKUP(B58,파트너관리!$A:$B,2,0),"미등록"))</f>
        <v/>
      </c>
      <c r="D58" s="49"/>
      <c r="E58" s="53"/>
      <c r="F58" s="47"/>
      <c r="G58" s="51"/>
      <c r="H58" s="51"/>
      <c r="I58" s="52" t="str">
        <f aca="false">IF(OR(G58="",H58=""),"",(H58-G58)/H58)</f>
        <v/>
      </c>
      <c r="J58" s="47"/>
      <c r="K58" s="53"/>
      <c r="L58" s="53"/>
      <c r="M58" s="49"/>
      <c r="N58" s="53"/>
      <c r="O58" s="47"/>
    </row>
    <row r="59" customFormat="false" ht="15" hidden="false" customHeight="true" outlineLevel="0" collapsed="false">
      <c r="A59" s="21"/>
      <c r="B59" s="21"/>
      <c r="C59" s="24" t="str">
        <f aca="false">IF(B59="","",IFERROR(VLOOKUP(B59,파트너관리!$A:$B,2,0),"미등록"))</f>
        <v/>
      </c>
      <c r="D59" s="22"/>
      <c r="E59" s="23"/>
      <c r="F59" s="21"/>
      <c r="G59" s="40"/>
      <c r="H59" s="40"/>
      <c r="I59" s="41" t="str">
        <f aca="false">IF(OR(G59="",H59=""),"",(H59-G59)/H59)</f>
        <v/>
      </c>
      <c r="J59" s="21"/>
      <c r="K59" s="23"/>
      <c r="L59" s="23"/>
      <c r="M59" s="22"/>
      <c r="N59" s="23"/>
      <c r="O59" s="21"/>
    </row>
    <row r="60" customFormat="false" ht="15" hidden="false" customHeight="true" outlineLevel="0" collapsed="false">
      <c r="A60" s="47"/>
      <c r="B60" s="47"/>
      <c r="C60" s="48" t="str">
        <f aca="false">IF(B60="","",IFERROR(VLOOKUP(B60,파트너관리!$A:$B,2,0),"미등록"))</f>
        <v/>
      </c>
      <c r="D60" s="49"/>
      <c r="E60" s="53"/>
      <c r="F60" s="47"/>
      <c r="G60" s="51"/>
      <c r="H60" s="51"/>
      <c r="I60" s="52" t="str">
        <f aca="false">IF(OR(G60="",H60=""),"",(H60-G60)/H60)</f>
        <v/>
      </c>
      <c r="J60" s="47"/>
      <c r="K60" s="53"/>
      <c r="L60" s="53"/>
      <c r="M60" s="49"/>
      <c r="N60" s="53"/>
      <c r="O60" s="47"/>
    </row>
    <row r="61" customFormat="false" ht="15" hidden="false" customHeight="true" outlineLevel="0" collapsed="false">
      <c r="A61" s="21"/>
      <c r="B61" s="21"/>
      <c r="C61" s="24" t="str">
        <f aca="false">IF(B61="","",IFERROR(VLOOKUP(B61,파트너관리!$A:$B,2,0),"미등록"))</f>
        <v/>
      </c>
      <c r="D61" s="22"/>
      <c r="E61" s="23"/>
      <c r="F61" s="21"/>
      <c r="G61" s="40"/>
      <c r="H61" s="40"/>
      <c r="I61" s="41" t="str">
        <f aca="false">IF(OR(G61="",H61=""),"",(H61-G61)/H61)</f>
        <v/>
      </c>
      <c r="J61" s="21"/>
      <c r="K61" s="23"/>
      <c r="L61" s="23"/>
      <c r="M61" s="22"/>
      <c r="N61" s="23"/>
      <c r="O61" s="21"/>
    </row>
    <row r="62" customFormat="false" ht="15" hidden="false" customHeight="true" outlineLevel="0" collapsed="false">
      <c r="A62" s="47"/>
      <c r="B62" s="47"/>
      <c r="C62" s="48" t="str">
        <f aca="false">IF(B62="","",IFERROR(VLOOKUP(B62,파트너관리!$A:$B,2,0),"미등록"))</f>
        <v/>
      </c>
      <c r="D62" s="49"/>
      <c r="E62" s="53"/>
      <c r="F62" s="47"/>
      <c r="G62" s="51"/>
      <c r="H62" s="51"/>
      <c r="I62" s="52" t="str">
        <f aca="false">IF(OR(G62="",H62=""),"",(H62-G62)/H62)</f>
        <v/>
      </c>
      <c r="J62" s="47"/>
      <c r="K62" s="53"/>
      <c r="L62" s="53"/>
      <c r="M62" s="49"/>
      <c r="N62" s="53"/>
      <c r="O62" s="47"/>
    </row>
    <row r="63" customFormat="false" ht="15" hidden="false" customHeight="true" outlineLevel="0" collapsed="false">
      <c r="A63" s="21"/>
      <c r="B63" s="21"/>
      <c r="C63" s="24" t="str">
        <f aca="false">IF(B63="","",IFERROR(VLOOKUP(B63,파트너관리!$A:$B,2,0),"미등록"))</f>
        <v/>
      </c>
      <c r="D63" s="22"/>
      <c r="E63" s="23"/>
      <c r="F63" s="21"/>
      <c r="G63" s="40"/>
      <c r="H63" s="40"/>
      <c r="I63" s="41" t="str">
        <f aca="false">IF(OR(G63="",H63=""),"",(H63-G63)/H63)</f>
        <v/>
      </c>
      <c r="J63" s="21"/>
      <c r="K63" s="23"/>
      <c r="L63" s="23"/>
      <c r="M63" s="22"/>
      <c r="N63" s="23"/>
      <c r="O63" s="21"/>
    </row>
    <row r="64" customFormat="false" ht="15" hidden="false" customHeight="true" outlineLevel="0" collapsed="false">
      <c r="A64" s="47"/>
      <c r="B64" s="47"/>
      <c r="C64" s="48" t="str">
        <f aca="false">IF(B64="","",IFERROR(VLOOKUP(B64,파트너관리!$A:$B,2,0),"미등록"))</f>
        <v/>
      </c>
      <c r="D64" s="49"/>
      <c r="E64" s="53"/>
      <c r="F64" s="47"/>
      <c r="G64" s="51"/>
      <c r="H64" s="51"/>
      <c r="I64" s="52" t="str">
        <f aca="false">IF(OR(G64="",H64=""),"",(H64-G64)/H64)</f>
        <v/>
      </c>
      <c r="J64" s="47"/>
      <c r="K64" s="53"/>
      <c r="L64" s="53"/>
      <c r="M64" s="49"/>
      <c r="N64" s="53"/>
      <c r="O64" s="47"/>
    </row>
  </sheetData>
  <mergeCells count="2">
    <mergeCell ref="A1:O1"/>
    <mergeCell ref="A2:O2"/>
  </mergeCells>
  <dataValidations count="2">
    <dataValidation allowBlank="true" errorStyle="stop" operator="between" showDropDown="false" showErrorMessage="false" showInputMessage="false" sqref="D5:D64" type="list">
      <formula1>"의류,잡화,전자,뷰티,식품,기타"</formula1>
      <formula2>0</formula2>
    </dataValidation>
    <dataValidation allowBlank="true" errorStyle="stop" operator="between" showDropDown="false" showErrorMessage="false" showInputMessage="false" sqref="M5:M64" type="list">
      <formula1>"검토중,승인,반려,보류"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9"/>
    <col collapsed="false" customWidth="true" hidden="false" outlineLevel="0" max="4" min="4" style="1" width="11"/>
    <col collapsed="false" customWidth="true" hidden="false" outlineLevel="0" max="5" min="5" style="1" width="10"/>
    <col collapsed="false" customWidth="true" hidden="false" outlineLevel="0" max="6" min="6" style="1" width="20"/>
    <col collapsed="false" customWidth="true" hidden="false" outlineLevel="0" max="7" min="7" style="1" width="7"/>
    <col collapsed="false" customWidth="true" hidden="false" outlineLevel="0" max="8" min="8" style="1" width="10"/>
    <col collapsed="false" customWidth="true" hidden="false" outlineLevel="0" max="9" min="9" style="1" width="11"/>
    <col collapsed="false" customWidth="true" hidden="false" outlineLevel="0" max="10" min="10" style="1" width="9"/>
    <col collapsed="false" customWidth="true" hidden="false" outlineLevel="0" max="11" min="11" style="1" width="11"/>
    <col collapsed="false" customWidth="true" hidden="false" outlineLevel="0" max="13" min="12" style="1" width="10"/>
    <col collapsed="false" customWidth="true" hidden="false" outlineLevel="0" max="14" min="14" style="1" width="14"/>
    <col collapsed="false" customWidth="true" hidden="false" outlineLevel="0" max="15" min="15" style="1" width="8"/>
    <col collapsed="false" customWidth="true" hidden="false" outlineLevel="0" max="16" min="16" style="1" width="14"/>
  </cols>
  <sheetData>
    <row r="1" customFormat="false" ht="24" hidden="false" customHeight="true" outlineLevel="0" collapsed="false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customFormat="false" ht="15.75" hidden="false" customHeight="true" outlineLevel="0" collapsed="false">
      <c r="A2" s="19" t="s">
        <v>189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4" customFormat="false" ht="15" hidden="false" customHeight="true" outlineLevel="0" collapsed="false">
      <c r="A4" s="20" t="s">
        <v>190</v>
      </c>
      <c r="B4" s="20" t="s">
        <v>191</v>
      </c>
      <c r="C4" s="20" t="s">
        <v>24</v>
      </c>
      <c r="D4" s="20" t="s">
        <v>192</v>
      </c>
      <c r="E4" s="20" t="s">
        <v>117</v>
      </c>
      <c r="F4" s="20" t="s">
        <v>119</v>
      </c>
      <c r="G4" s="20" t="s">
        <v>193</v>
      </c>
      <c r="H4" s="20" t="s">
        <v>194</v>
      </c>
      <c r="I4" s="20" t="s">
        <v>195</v>
      </c>
      <c r="J4" s="20" t="s">
        <v>196</v>
      </c>
      <c r="K4" s="20" t="s">
        <v>197</v>
      </c>
      <c r="L4" s="20" t="s">
        <v>198</v>
      </c>
      <c r="M4" s="20" t="s">
        <v>199</v>
      </c>
      <c r="N4" s="20" t="s">
        <v>200</v>
      </c>
      <c r="O4" s="20" t="s">
        <v>201</v>
      </c>
      <c r="P4" s="20" t="s">
        <v>36</v>
      </c>
    </row>
    <row r="5" customFormat="false" ht="15" hidden="false" customHeight="true" outlineLevel="0" collapsed="false">
      <c r="A5" s="21" t="s">
        <v>202</v>
      </c>
      <c r="B5" s="21" t="s">
        <v>38</v>
      </c>
      <c r="C5" s="21" t="s">
        <v>37</v>
      </c>
      <c r="D5" s="24" t="str">
        <f aca="false">IF(C5="","",IFERROR(VLOOKUP(C5,회원관리!$A:$C,3,0),"미등록"))</f>
        <v>김민수</v>
      </c>
      <c r="E5" s="23" t="s">
        <v>131</v>
      </c>
      <c r="F5" s="24" t="str">
        <f aca="false">IF(E5="","",IFERROR(VLOOKUP(E5,상품관리!$A:$C,3,0),"미등록"))</f>
        <v>베이직 코튼 티셔츠</v>
      </c>
      <c r="G5" s="21" t="n">
        <v>2</v>
      </c>
      <c r="H5" s="54" t="n">
        <f aca="false">IF(E5="","",IFERROR(VLOOKUP(E5,상품관리!$A:$F,6,0),0))</f>
        <v>19000</v>
      </c>
      <c r="I5" s="54" t="n">
        <f aca="false">IF(OR(G5="",H5=""),"",G5*H5)</f>
        <v>38000</v>
      </c>
      <c r="J5" s="40" t="n">
        <v>3000</v>
      </c>
      <c r="K5" s="54" t="n">
        <f aca="false">IF(I5="","",I5+N(J5))</f>
        <v>41000</v>
      </c>
      <c r="L5" s="22" t="s">
        <v>203</v>
      </c>
      <c r="M5" s="21"/>
      <c r="N5" s="21"/>
      <c r="O5" s="24" t="str">
        <f aca="false">IF(E5="","",IFERROR(VLOOKUP(E5,상품관리!$A:$K,11,0),""))</f>
        <v>PT01</v>
      </c>
      <c r="P5" s="23"/>
    </row>
    <row r="6" customFormat="false" ht="15" hidden="false" customHeight="true" outlineLevel="0" collapsed="false">
      <c r="A6" s="26" t="s">
        <v>204</v>
      </c>
      <c r="B6" s="26" t="s">
        <v>48</v>
      </c>
      <c r="C6" s="26" t="s">
        <v>47</v>
      </c>
      <c r="D6" s="29" t="str">
        <f aca="false">IF(C6="","",IFERROR(VLOOKUP(C6,회원관리!$A:$C,3,0),"미등록"))</f>
        <v>이서연</v>
      </c>
      <c r="E6" s="28" t="s">
        <v>137</v>
      </c>
      <c r="F6" s="29" t="str">
        <f aca="false">IF(E6="","",IFERROR(VLOOKUP(E6,상품관리!$A:$C,3,0),"미등록"))</f>
        <v>오버핏 후드집업</v>
      </c>
      <c r="G6" s="26" t="n">
        <v>1</v>
      </c>
      <c r="H6" s="55" t="n">
        <f aca="false">IF(E6="","",IFERROR(VLOOKUP(E6,상품관리!$A:$F,6,0),0))</f>
        <v>39000</v>
      </c>
      <c r="I6" s="55" t="n">
        <f aca="false">IF(OR(G6="",H6=""),"",G6*H6)</f>
        <v>39000</v>
      </c>
      <c r="J6" s="43" t="n">
        <v>3000</v>
      </c>
      <c r="K6" s="55" t="n">
        <f aca="false">IF(I6="","",I6+N(J6))</f>
        <v>42000</v>
      </c>
      <c r="L6" s="27" t="s">
        <v>203</v>
      </c>
      <c r="M6" s="26"/>
      <c r="N6" s="26"/>
      <c r="O6" s="29" t="str">
        <f aca="false">IF(E6="","",IFERROR(VLOOKUP(E6,상품관리!$A:$K,11,0),""))</f>
        <v>PT01</v>
      </c>
      <c r="P6" s="28"/>
    </row>
    <row r="7" customFormat="false" ht="15" hidden="false" customHeight="true" outlineLevel="0" collapsed="false">
      <c r="A7" s="21" t="s">
        <v>205</v>
      </c>
      <c r="B7" s="21" t="s">
        <v>55</v>
      </c>
      <c r="C7" s="21" t="s">
        <v>54</v>
      </c>
      <c r="D7" s="24" t="str">
        <f aca="false">IF(C7="","",IFERROR(VLOOKUP(C7,회원관리!$A:$C,3,0),"미등록"))</f>
        <v>박지훈</v>
      </c>
      <c r="E7" s="23" t="s">
        <v>141</v>
      </c>
      <c r="F7" s="24" t="str">
        <f aca="false">IF(E7="","",IFERROR(VLOOKUP(E7,상품관리!$A:$C,3,0),"미등록"))</f>
        <v>캔버스 에코백</v>
      </c>
      <c r="G7" s="21" t="n">
        <v>3</v>
      </c>
      <c r="H7" s="54" t="n">
        <f aca="false">IF(E7="","",IFERROR(VLOOKUP(E7,상품관리!$A:$F,6,0),0))</f>
        <v>12000</v>
      </c>
      <c r="I7" s="54" t="n">
        <f aca="false">IF(OR(G7="",H7=""),"",G7*H7)</f>
        <v>36000</v>
      </c>
      <c r="J7" s="40" t="n">
        <v>3000</v>
      </c>
      <c r="K7" s="54" t="n">
        <f aca="false">IF(I7="","",I7+N(J7))</f>
        <v>39000</v>
      </c>
      <c r="L7" s="22" t="s">
        <v>206</v>
      </c>
      <c r="M7" s="21"/>
      <c r="N7" s="21"/>
      <c r="O7" s="24" t="str">
        <f aca="false">IF(E7="","",IFERROR(VLOOKUP(E7,상품관리!$A:$K,11,0),""))</f>
        <v>PT02</v>
      </c>
      <c r="P7" s="23"/>
    </row>
    <row r="8" customFormat="false" ht="15" hidden="false" customHeight="true" outlineLevel="0" collapsed="false">
      <c r="A8" s="26" t="s">
        <v>207</v>
      </c>
      <c r="B8" s="26" t="s">
        <v>63</v>
      </c>
      <c r="C8" s="26" t="s">
        <v>37</v>
      </c>
      <c r="D8" s="29" t="str">
        <f aca="false">IF(C8="","",IFERROR(VLOOKUP(C8,회원관리!$A:$C,3,0),"미등록"))</f>
        <v>김민수</v>
      </c>
      <c r="E8" s="28" t="s">
        <v>146</v>
      </c>
      <c r="F8" s="29" t="str">
        <f aca="false">IF(E8="","",IFERROR(VLOOKUP(E8,상품관리!$A:$C,3,0),"미등록"))</f>
        <v>무선 블루투스 이어폰</v>
      </c>
      <c r="G8" s="26" t="n">
        <v>1</v>
      </c>
      <c r="H8" s="55" t="n">
        <f aca="false">IF(E8="","",IFERROR(VLOOKUP(E8,상품관리!$A:$F,6,0),0))</f>
        <v>49000</v>
      </c>
      <c r="I8" s="55" t="n">
        <f aca="false">IF(OR(G8="",H8=""),"",G8*H8)</f>
        <v>49000</v>
      </c>
      <c r="J8" s="43" t="n">
        <v>0</v>
      </c>
      <c r="K8" s="55" t="n">
        <f aca="false">IF(I8="","",I8+N(J8))</f>
        <v>49000</v>
      </c>
      <c r="L8" s="27" t="s">
        <v>203</v>
      </c>
      <c r="M8" s="26"/>
      <c r="N8" s="26"/>
      <c r="O8" s="29" t="str">
        <f aca="false">IF(E8="","",IFERROR(VLOOKUP(E8,상품관리!$A:$K,11,0),""))</f>
        <v>PT03</v>
      </c>
      <c r="P8" s="42" t="s">
        <v>208</v>
      </c>
    </row>
    <row r="9" customFormat="false" ht="15" hidden="false" customHeight="true" outlineLevel="0" collapsed="false">
      <c r="A9" s="21" t="s">
        <v>209</v>
      </c>
      <c r="B9" s="21" t="s">
        <v>70</v>
      </c>
      <c r="C9" s="21" t="s">
        <v>69</v>
      </c>
      <c r="D9" s="24" t="str">
        <f aca="false">IF(C9="","",IFERROR(VLOOKUP(C9,회원관리!$A:$C,3,0),"미등록"))</f>
        <v>정도현</v>
      </c>
      <c r="E9" s="23" t="s">
        <v>131</v>
      </c>
      <c r="F9" s="24" t="str">
        <f aca="false">IF(E9="","",IFERROR(VLOOKUP(E9,상품관리!$A:$C,3,0),"미등록"))</f>
        <v>베이직 코튼 티셔츠</v>
      </c>
      <c r="G9" s="21" t="n">
        <v>5</v>
      </c>
      <c r="H9" s="54" t="n">
        <f aca="false">IF(E9="","",IFERROR(VLOOKUP(E9,상품관리!$A:$F,6,0),0))</f>
        <v>19000</v>
      </c>
      <c r="I9" s="54" t="n">
        <f aca="false">IF(OR(G9="",H9=""),"",G9*H9)</f>
        <v>95000</v>
      </c>
      <c r="J9" s="40" t="n">
        <v>3000</v>
      </c>
      <c r="K9" s="54" t="n">
        <f aca="false">IF(I9="","",I9+N(J9))</f>
        <v>98000</v>
      </c>
      <c r="L9" s="22" t="s">
        <v>210</v>
      </c>
      <c r="M9" s="21"/>
      <c r="N9" s="21"/>
      <c r="O9" s="24" t="str">
        <f aca="false">IF(E9="","",IFERROR(VLOOKUP(E9,상품관리!$A:$K,11,0),""))</f>
        <v>PT01</v>
      </c>
      <c r="P9" s="23"/>
    </row>
    <row r="10" customFormat="false" ht="15" hidden="false" customHeight="true" outlineLevel="0" collapsed="false">
      <c r="A10" s="26"/>
      <c r="B10" s="26"/>
      <c r="C10" s="26"/>
      <c r="D10" s="29" t="str">
        <f aca="false">IF(C10="","",IFERROR(VLOOKUP(C10,회원관리!$A:$C,3,0),"미등록"))</f>
        <v/>
      </c>
      <c r="E10" s="28"/>
      <c r="F10" s="29" t="str">
        <f aca="false">IF(E10="","",IFERROR(VLOOKUP(E10,상품관리!$A:$C,3,0),"미등록"))</f>
        <v/>
      </c>
      <c r="G10" s="26"/>
      <c r="H10" s="55" t="str">
        <f aca="false">IF(E10="","",IFERROR(VLOOKUP(E10,상품관리!$A:$F,6,0),0))</f>
        <v/>
      </c>
      <c r="I10" s="55" t="str">
        <f aca="false">IF(OR(G10="",H10=""),"",G10*H10)</f>
        <v/>
      </c>
      <c r="J10" s="43"/>
      <c r="K10" s="55" t="str">
        <f aca="false">IF(I10="","",I10+N(J10))</f>
        <v/>
      </c>
      <c r="L10" s="27"/>
      <c r="M10" s="26"/>
      <c r="N10" s="26"/>
      <c r="O10" s="29" t="str">
        <f aca="false">IF(E10="","",IFERROR(VLOOKUP(E10,상품관리!$A:$K,11,0),""))</f>
        <v/>
      </c>
      <c r="P10" s="28"/>
    </row>
    <row r="11" customFormat="false" ht="15" hidden="false" customHeight="true" outlineLevel="0" collapsed="false">
      <c r="A11" s="21"/>
      <c r="B11" s="21"/>
      <c r="C11" s="21"/>
      <c r="D11" s="24" t="str">
        <f aca="false">IF(C11="","",IFERROR(VLOOKUP(C11,회원관리!$A:$C,3,0),"미등록"))</f>
        <v/>
      </c>
      <c r="E11" s="23"/>
      <c r="F11" s="24" t="str">
        <f aca="false">IF(E11="","",IFERROR(VLOOKUP(E11,상품관리!$A:$C,3,0),"미등록"))</f>
        <v/>
      </c>
      <c r="G11" s="21"/>
      <c r="H11" s="54" t="str">
        <f aca="false">IF(E11="","",IFERROR(VLOOKUP(E11,상품관리!$A:$F,6,0),0))</f>
        <v/>
      </c>
      <c r="I11" s="54" t="str">
        <f aca="false">IF(OR(G11="",H11=""),"",G11*H11)</f>
        <v/>
      </c>
      <c r="J11" s="40"/>
      <c r="K11" s="54" t="str">
        <f aca="false">IF(I11="","",I11+N(J11))</f>
        <v/>
      </c>
      <c r="L11" s="22"/>
      <c r="M11" s="21"/>
      <c r="N11" s="21"/>
      <c r="O11" s="24" t="str">
        <f aca="false">IF(E11="","",IFERROR(VLOOKUP(E11,상품관리!$A:$K,11,0),""))</f>
        <v/>
      </c>
      <c r="P11" s="23"/>
    </row>
    <row r="12" customFormat="false" ht="15" hidden="false" customHeight="true" outlineLevel="0" collapsed="false">
      <c r="A12" s="26"/>
      <c r="B12" s="26"/>
      <c r="C12" s="26"/>
      <c r="D12" s="29" t="str">
        <f aca="false">IF(C12="","",IFERROR(VLOOKUP(C12,회원관리!$A:$C,3,0),"미등록"))</f>
        <v/>
      </c>
      <c r="E12" s="28"/>
      <c r="F12" s="29" t="str">
        <f aca="false">IF(E12="","",IFERROR(VLOOKUP(E12,상품관리!$A:$C,3,0),"미등록"))</f>
        <v/>
      </c>
      <c r="G12" s="26"/>
      <c r="H12" s="55" t="str">
        <f aca="false">IF(E12="","",IFERROR(VLOOKUP(E12,상품관리!$A:$F,6,0),0))</f>
        <v/>
      </c>
      <c r="I12" s="55" t="str">
        <f aca="false">IF(OR(G12="",H12=""),"",G12*H12)</f>
        <v/>
      </c>
      <c r="J12" s="43"/>
      <c r="K12" s="55" t="str">
        <f aca="false">IF(I12="","",I12+N(J12))</f>
        <v/>
      </c>
      <c r="L12" s="27"/>
      <c r="M12" s="26"/>
      <c r="N12" s="26"/>
      <c r="O12" s="29" t="str">
        <f aca="false">IF(E12="","",IFERROR(VLOOKUP(E12,상품관리!$A:$K,11,0),""))</f>
        <v/>
      </c>
      <c r="P12" s="28"/>
    </row>
    <row r="13" customFormat="false" ht="15" hidden="false" customHeight="true" outlineLevel="0" collapsed="false">
      <c r="A13" s="21"/>
      <c r="B13" s="21"/>
      <c r="C13" s="21"/>
      <c r="D13" s="24" t="str">
        <f aca="false">IF(C13="","",IFERROR(VLOOKUP(C13,회원관리!$A:$C,3,0),"미등록"))</f>
        <v/>
      </c>
      <c r="E13" s="23"/>
      <c r="F13" s="24" t="str">
        <f aca="false">IF(E13="","",IFERROR(VLOOKUP(E13,상품관리!$A:$C,3,0),"미등록"))</f>
        <v/>
      </c>
      <c r="G13" s="21"/>
      <c r="H13" s="54" t="str">
        <f aca="false">IF(E13="","",IFERROR(VLOOKUP(E13,상품관리!$A:$F,6,0),0))</f>
        <v/>
      </c>
      <c r="I13" s="54" t="str">
        <f aca="false">IF(OR(G13="",H13=""),"",G13*H13)</f>
        <v/>
      </c>
      <c r="J13" s="40"/>
      <c r="K13" s="54" t="str">
        <f aca="false">IF(I13="","",I13+N(J13))</f>
        <v/>
      </c>
      <c r="L13" s="22"/>
      <c r="M13" s="21"/>
      <c r="N13" s="21"/>
      <c r="O13" s="24" t="str">
        <f aca="false">IF(E13="","",IFERROR(VLOOKUP(E13,상품관리!$A:$K,11,0),""))</f>
        <v/>
      </c>
      <c r="P13" s="23"/>
    </row>
    <row r="14" customFormat="false" ht="15" hidden="false" customHeight="true" outlineLevel="0" collapsed="false">
      <c r="A14" s="26"/>
      <c r="B14" s="26"/>
      <c r="C14" s="26"/>
      <c r="D14" s="29" t="str">
        <f aca="false">IF(C14="","",IFERROR(VLOOKUP(C14,회원관리!$A:$C,3,0),"미등록"))</f>
        <v/>
      </c>
      <c r="E14" s="28"/>
      <c r="F14" s="29" t="str">
        <f aca="false">IF(E14="","",IFERROR(VLOOKUP(E14,상품관리!$A:$C,3,0),"미등록"))</f>
        <v/>
      </c>
      <c r="G14" s="26"/>
      <c r="H14" s="55" t="str">
        <f aca="false">IF(E14="","",IFERROR(VLOOKUP(E14,상품관리!$A:$F,6,0),0))</f>
        <v/>
      </c>
      <c r="I14" s="55" t="str">
        <f aca="false">IF(OR(G14="",H14=""),"",G14*H14)</f>
        <v/>
      </c>
      <c r="J14" s="43"/>
      <c r="K14" s="55" t="str">
        <f aca="false">IF(I14="","",I14+N(J14))</f>
        <v/>
      </c>
      <c r="L14" s="27"/>
      <c r="M14" s="26"/>
      <c r="N14" s="26"/>
      <c r="O14" s="29" t="str">
        <f aca="false">IF(E14="","",IFERROR(VLOOKUP(E14,상품관리!$A:$K,11,0),""))</f>
        <v/>
      </c>
      <c r="P14" s="28"/>
    </row>
    <row r="15" customFormat="false" ht="15" hidden="false" customHeight="true" outlineLevel="0" collapsed="false">
      <c r="A15" s="21"/>
      <c r="B15" s="21"/>
      <c r="C15" s="21"/>
      <c r="D15" s="24" t="str">
        <f aca="false">IF(C15="","",IFERROR(VLOOKUP(C15,회원관리!$A:$C,3,0),"미등록"))</f>
        <v/>
      </c>
      <c r="E15" s="23"/>
      <c r="F15" s="24" t="str">
        <f aca="false">IF(E15="","",IFERROR(VLOOKUP(E15,상품관리!$A:$C,3,0),"미등록"))</f>
        <v/>
      </c>
      <c r="G15" s="21"/>
      <c r="H15" s="54" t="str">
        <f aca="false">IF(E15="","",IFERROR(VLOOKUP(E15,상품관리!$A:$F,6,0),0))</f>
        <v/>
      </c>
      <c r="I15" s="54" t="str">
        <f aca="false">IF(OR(G15="",H15=""),"",G15*H15)</f>
        <v/>
      </c>
      <c r="J15" s="40"/>
      <c r="K15" s="54" t="str">
        <f aca="false">IF(I15="","",I15+N(J15))</f>
        <v/>
      </c>
      <c r="L15" s="22"/>
      <c r="M15" s="21"/>
      <c r="N15" s="21"/>
      <c r="O15" s="24" t="str">
        <f aca="false">IF(E15="","",IFERROR(VLOOKUP(E15,상품관리!$A:$K,11,0),""))</f>
        <v/>
      </c>
      <c r="P15" s="23"/>
    </row>
    <row r="16" customFormat="false" ht="15" hidden="false" customHeight="true" outlineLevel="0" collapsed="false">
      <c r="A16" s="26"/>
      <c r="B16" s="26"/>
      <c r="C16" s="26"/>
      <c r="D16" s="29" t="str">
        <f aca="false">IF(C16="","",IFERROR(VLOOKUP(C16,회원관리!$A:$C,3,0),"미등록"))</f>
        <v/>
      </c>
      <c r="E16" s="28"/>
      <c r="F16" s="29" t="str">
        <f aca="false">IF(E16="","",IFERROR(VLOOKUP(E16,상품관리!$A:$C,3,0),"미등록"))</f>
        <v/>
      </c>
      <c r="G16" s="26"/>
      <c r="H16" s="55" t="str">
        <f aca="false">IF(E16="","",IFERROR(VLOOKUP(E16,상품관리!$A:$F,6,0),0))</f>
        <v/>
      </c>
      <c r="I16" s="55" t="str">
        <f aca="false">IF(OR(G16="",H16=""),"",G16*H16)</f>
        <v/>
      </c>
      <c r="J16" s="43"/>
      <c r="K16" s="55" t="str">
        <f aca="false">IF(I16="","",I16+N(J16))</f>
        <v/>
      </c>
      <c r="L16" s="27"/>
      <c r="M16" s="26"/>
      <c r="N16" s="26"/>
      <c r="O16" s="29" t="str">
        <f aca="false">IF(E16="","",IFERROR(VLOOKUP(E16,상품관리!$A:$K,11,0),""))</f>
        <v/>
      </c>
      <c r="P16" s="28"/>
    </row>
    <row r="17" customFormat="false" ht="15" hidden="false" customHeight="true" outlineLevel="0" collapsed="false">
      <c r="A17" s="21"/>
      <c r="B17" s="21"/>
      <c r="C17" s="21"/>
      <c r="D17" s="24" t="str">
        <f aca="false">IF(C17="","",IFERROR(VLOOKUP(C17,회원관리!$A:$C,3,0),"미등록"))</f>
        <v/>
      </c>
      <c r="E17" s="23"/>
      <c r="F17" s="24" t="str">
        <f aca="false">IF(E17="","",IFERROR(VLOOKUP(E17,상품관리!$A:$C,3,0),"미등록"))</f>
        <v/>
      </c>
      <c r="G17" s="21"/>
      <c r="H17" s="54" t="str">
        <f aca="false">IF(E17="","",IFERROR(VLOOKUP(E17,상품관리!$A:$F,6,0),0))</f>
        <v/>
      </c>
      <c r="I17" s="54" t="str">
        <f aca="false">IF(OR(G17="",H17=""),"",G17*H17)</f>
        <v/>
      </c>
      <c r="J17" s="40"/>
      <c r="K17" s="54" t="str">
        <f aca="false">IF(I17="","",I17+N(J17))</f>
        <v/>
      </c>
      <c r="L17" s="22"/>
      <c r="M17" s="21"/>
      <c r="N17" s="21"/>
      <c r="O17" s="24" t="str">
        <f aca="false">IF(E17="","",IFERROR(VLOOKUP(E17,상품관리!$A:$K,11,0),""))</f>
        <v/>
      </c>
      <c r="P17" s="23"/>
    </row>
    <row r="18" customFormat="false" ht="15" hidden="false" customHeight="true" outlineLevel="0" collapsed="false">
      <c r="A18" s="26"/>
      <c r="B18" s="26"/>
      <c r="C18" s="26"/>
      <c r="D18" s="29" t="str">
        <f aca="false">IF(C18="","",IFERROR(VLOOKUP(C18,회원관리!$A:$C,3,0),"미등록"))</f>
        <v/>
      </c>
      <c r="E18" s="28"/>
      <c r="F18" s="29" t="str">
        <f aca="false">IF(E18="","",IFERROR(VLOOKUP(E18,상품관리!$A:$C,3,0),"미등록"))</f>
        <v/>
      </c>
      <c r="G18" s="26"/>
      <c r="H18" s="55" t="str">
        <f aca="false">IF(E18="","",IFERROR(VLOOKUP(E18,상품관리!$A:$F,6,0),0))</f>
        <v/>
      </c>
      <c r="I18" s="55" t="str">
        <f aca="false">IF(OR(G18="",H18=""),"",G18*H18)</f>
        <v/>
      </c>
      <c r="J18" s="43"/>
      <c r="K18" s="55" t="str">
        <f aca="false">IF(I18="","",I18+N(J18))</f>
        <v/>
      </c>
      <c r="L18" s="27"/>
      <c r="M18" s="26"/>
      <c r="N18" s="26"/>
      <c r="O18" s="29" t="str">
        <f aca="false">IF(E18="","",IFERROR(VLOOKUP(E18,상품관리!$A:$K,11,0),""))</f>
        <v/>
      </c>
      <c r="P18" s="28"/>
    </row>
    <row r="19" customFormat="false" ht="15" hidden="false" customHeight="true" outlineLevel="0" collapsed="false">
      <c r="A19" s="21"/>
      <c r="B19" s="21"/>
      <c r="C19" s="21"/>
      <c r="D19" s="24" t="str">
        <f aca="false">IF(C19="","",IFERROR(VLOOKUP(C19,회원관리!$A:$C,3,0),"미등록"))</f>
        <v/>
      </c>
      <c r="E19" s="23"/>
      <c r="F19" s="24" t="str">
        <f aca="false">IF(E19="","",IFERROR(VLOOKUP(E19,상품관리!$A:$C,3,0),"미등록"))</f>
        <v/>
      </c>
      <c r="G19" s="21"/>
      <c r="H19" s="54" t="str">
        <f aca="false">IF(E19="","",IFERROR(VLOOKUP(E19,상품관리!$A:$F,6,0),0))</f>
        <v/>
      </c>
      <c r="I19" s="54" t="str">
        <f aca="false">IF(OR(G19="",H19=""),"",G19*H19)</f>
        <v/>
      </c>
      <c r="J19" s="40"/>
      <c r="K19" s="54" t="str">
        <f aca="false">IF(I19="","",I19+N(J19))</f>
        <v/>
      </c>
      <c r="L19" s="22"/>
      <c r="M19" s="21"/>
      <c r="N19" s="21"/>
      <c r="O19" s="24" t="str">
        <f aca="false">IF(E19="","",IFERROR(VLOOKUP(E19,상품관리!$A:$K,11,0),""))</f>
        <v/>
      </c>
      <c r="P19" s="23"/>
    </row>
    <row r="20" customFormat="false" ht="15" hidden="false" customHeight="true" outlineLevel="0" collapsed="false">
      <c r="A20" s="26"/>
      <c r="B20" s="26"/>
      <c r="C20" s="26"/>
      <c r="D20" s="29" t="str">
        <f aca="false">IF(C20="","",IFERROR(VLOOKUP(C20,회원관리!$A:$C,3,0),"미등록"))</f>
        <v/>
      </c>
      <c r="E20" s="28"/>
      <c r="F20" s="29" t="str">
        <f aca="false">IF(E20="","",IFERROR(VLOOKUP(E20,상품관리!$A:$C,3,0),"미등록"))</f>
        <v/>
      </c>
      <c r="G20" s="26"/>
      <c r="H20" s="55" t="str">
        <f aca="false">IF(E20="","",IFERROR(VLOOKUP(E20,상품관리!$A:$F,6,0),0))</f>
        <v/>
      </c>
      <c r="I20" s="55" t="str">
        <f aca="false">IF(OR(G20="",H20=""),"",G20*H20)</f>
        <v/>
      </c>
      <c r="J20" s="43"/>
      <c r="K20" s="55" t="str">
        <f aca="false">IF(I20="","",I20+N(J20))</f>
        <v/>
      </c>
      <c r="L20" s="27"/>
      <c r="M20" s="26"/>
      <c r="N20" s="26"/>
      <c r="O20" s="29" t="str">
        <f aca="false">IF(E20="","",IFERROR(VLOOKUP(E20,상품관리!$A:$K,11,0),""))</f>
        <v/>
      </c>
      <c r="P20" s="28"/>
    </row>
    <row r="21" customFormat="false" ht="15" hidden="false" customHeight="true" outlineLevel="0" collapsed="false">
      <c r="A21" s="21"/>
      <c r="B21" s="21"/>
      <c r="C21" s="21"/>
      <c r="D21" s="24" t="str">
        <f aca="false">IF(C21="","",IFERROR(VLOOKUP(C21,회원관리!$A:$C,3,0),"미등록"))</f>
        <v/>
      </c>
      <c r="E21" s="23"/>
      <c r="F21" s="24" t="str">
        <f aca="false">IF(E21="","",IFERROR(VLOOKUP(E21,상품관리!$A:$C,3,0),"미등록"))</f>
        <v/>
      </c>
      <c r="G21" s="21"/>
      <c r="H21" s="54" t="str">
        <f aca="false">IF(E21="","",IFERROR(VLOOKUP(E21,상품관리!$A:$F,6,0),0))</f>
        <v/>
      </c>
      <c r="I21" s="54" t="str">
        <f aca="false">IF(OR(G21="",H21=""),"",G21*H21)</f>
        <v/>
      </c>
      <c r="J21" s="40"/>
      <c r="K21" s="54" t="str">
        <f aca="false">IF(I21="","",I21+N(J21))</f>
        <v/>
      </c>
      <c r="L21" s="22"/>
      <c r="M21" s="21"/>
      <c r="N21" s="21"/>
      <c r="O21" s="24" t="str">
        <f aca="false">IF(E21="","",IFERROR(VLOOKUP(E21,상품관리!$A:$K,11,0),""))</f>
        <v/>
      </c>
      <c r="P21" s="23"/>
    </row>
    <row r="22" customFormat="false" ht="15" hidden="false" customHeight="true" outlineLevel="0" collapsed="false">
      <c r="A22" s="26"/>
      <c r="B22" s="26"/>
      <c r="C22" s="26"/>
      <c r="D22" s="29" t="str">
        <f aca="false">IF(C22="","",IFERROR(VLOOKUP(C22,회원관리!$A:$C,3,0),"미등록"))</f>
        <v/>
      </c>
      <c r="E22" s="28"/>
      <c r="F22" s="29" t="str">
        <f aca="false">IF(E22="","",IFERROR(VLOOKUP(E22,상품관리!$A:$C,3,0),"미등록"))</f>
        <v/>
      </c>
      <c r="G22" s="26"/>
      <c r="H22" s="55" t="str">
        <f aca="false">IF(E22="","",IFERROR(VLOOKUP(E22,상품관리!$A:$F,6,0),0))</f>
        <v/>
      </c>
      <c r="I22" s="55" t="str">
        <f aca="false">IF(OR(G22="",H22=""),"",G22*H22)</f>
        <v/>
      </c>
      <c r="J22" s="43"/>
      <c r="K22" s="55" t="str">
        <f aca="false">IF(I22="","",I22+N(J22))</f>
        <v/>
      </c>
      <c r="L22" s="27"/>
      <c r="M22" s="26"/>
      <c r="N22" s="26"/>
      <c r="O22" s="29" t="str">
        <f aca="false">IF(E22="","",IFERROR(VLOOKUP(E22,상품관리!$A:$K,11,0),""))</f>
        <v/>
      </c>
      <c r="P22" s="28"/>
    </row>
    <row r="23" customFormat="false" ht="15" hidden="false" customHeight="true" outlineLevel="0" collapsed="false">
      <c r="A23" s="21"/>
      <c r="B23" s="21"/>
      <c r="C23" s="21"/>
      <c r="D23" s="24" t="str">
        <f aca="false">IF(C23="","",IFERROR(VLOOKUP(C23,회원관리!$A:$C,3,0),"미등록"))</f>
        <v/>
      </c>
      <c r="E23" s="23"/>
      <c r="F23" s="24" t="str">
        <f aca="false">IF(E23="","",IFERROR(VLOOKUP(E23,상품관리!$A:$C,3,0),"미등록"))</f>
        <v/>
      </c>
      <c r="G23" s="21"/>
      <c r="H23" s="54" t="str">
        <f aca="false">IF(E23="","",IFERROR(VLOOKUP(E23,상품관리!$A:$F,6,0),0))</f>
        <v/>
      </c>
      <c r="I23" s="54" t="str">
        <f aca="false">IF(OR(G23="",H23=""),"",G23*H23)</f>
        <v/>
      </c>
      <c r="J23" s="40"/>
      <c r="K23" s="54" t="str">
        <f aca="false">IF(I23="","",I23+N(J23))</f>
        <v/>
      </c>
      <c r="L23" s="22"/>
      <c r="M23" s="21"/>
      <c r="N23" s="21"/>
      <c r="O23" s="24" t="str">
        <f aca="false">IF(E23="","",IFERROR(VLOOKUP(E23,상품관리!$A:$K,11,0),""))</f>
        <v/>
      </c>
      <c r="P23" s="23"/>
    </row>
    <row r="24" customFormat="false" ht="15" hidden="false" customHeight="true" outlineLevel="0" collapsed="false">
      <c r="A24" s="26"/>
      <c r="B24" s="26"/>
      <c r="C24" s="26"/>
      <c r="D24" s="29" t="str">
        <f aca="false">IF(C24="","",IFERROR(VLOOKUP(C24,회원관리!$A:$C,3,0),"미등록"))</f>
        <v/>
      </c>
      <c r="E24" s="28"/>
      <c r="F24" s="29" t="str">
        <f aca="false">IF(E24="","",IFERROR(VLOOKUP(E24,상품관리!$A:$C,3,0),"미등록"))</f>
        <v/>
      </c>
      <c r="G24" s="26"/>
      <c r="H24" s="55" t="str">
        <f aca="false">IF(E24="","",IFERROR(VLOOKUP(E24,상품관리!$A:$F,6,0),0))</f>
        <v/>
      </c>
      <c r="I24" s="55" t="str">
        <f aca="false">IF(OR(G24="",H24=""),"",G24*H24)</f>
        <v/>
      </c>
      <c r="J24" s="43"/>
      <c r="K24" s="55" t="str">
        <f aca="false">IF(I24="","",I24+N(J24))</f>
        <v/>
      </c>
      <c r="L24" s="27"/>
      <c r="M24" s="26"/>
      <c r="N24" s="26"/>
      <c r="O24" s="29" t="str">
        <f aca="false">IF(E24="","",IFERROR(VLOOKUP(E24,상품관리!$A:$K,11,0),""))</f>
        <v/>
      </c>
      <c r="P24" s="28"/>
    </row>
    <row r="25" customFormat="false" ht="15" hidden="false" customHeight="true" outlineLevel="0" collapsed="false">
      <c r="A25" s="21"/>
      <c r="B25" s="21"/>
      <c r="C25" s="21"/>
      <c r="D25" s="24" t="str">
        <f aca="false">IF(C25="","",IFERROR(VLOOKUP(C25,회원관리!$A:$C,3,0),"미등록"))</f>
        <v/>
      </c>
      <c r="E25" s="23"/>
      <c r="F25" s="24" t="str">
        <f aca="false">IF(E25="","",IFERROR(VLOOKUP(E25,상품관리!$A:$C,3,0),"미등록"))</f>
        <v/>
      </c>
      <c r="G25" s="21"/>
      <c r="H25" s="54" t="str">
        <f aca="false">IF(E25="","",IFERROR(VLOOKUP(E25,상품관리!$A:$F,6,0),0))</f>
        <v/>
      </c>
      <c r="I25" s="54" t="str">
        <f aca="false">IF(OR(G25="",H25=""),"",G25*H25)</f>
        <v/>
      </c>
      <c r="J25" s="40"/>
      <c r="K25" s="54" t="str">
        <f aca="false">IF(I25="","",I25+N(J25))</f>
        <v/>
      </c>
      <c r="L25" s="22"/>
      <c r="M25" s="21"/>
      <c r="N25" s="21"/>
      <c r="O25" s="24" t="str">
        <f aca="false">IF(E25="","",IFERROR(VLOOKUP(E25,상품관리!$A:$K,11,0),""))</f>
        <v/>
      </c>
      <c r="P25" s="23"/>
    </row>
    <row r="26" customFormat="false" ht="15" hidden="false" customHeight="true" outlineLevel="0" collapsed="false">
      <c r="A26" s="26"/>
      <c r="B26" s="26"/>
      <c r="C26" s="26"/>
      <c r="D26" s="29" t="str">
        <f aca="false">IF(C26="","",IFERROR(VLOOKUP(C26,회원관리!$A:$C,3,0),"미등록"))</f>
        <v/>
      </c>
      <c r="E26" s="28"/>
      <c r="F26" s="29" t="str">
        <f aca="false">IF(E26="","",IFERROR(VLOOKUP(E26,상품관리!$A:$C,3,0),"미등록"))</f>
        <v/>
      </c>
      <c r="G26" s="26"/>
      <c r="H26" s="55" t="str">
        <f aca="false">IF(E26="","",IFERROR(VLOOKUP(E26,상품관리!$A:$F,6,0),0))</f>
        <v/>
      </c>
      <c r="I26" s="55" t="str">
        <f aca="false">IF(OR(G26="",H26=""),"",G26*H26)</f>
        <v/>
      </c>
      <c r="J26" s="43"/>
      <c r="K26" s="55" t="str">
        <f aca="false">IF(I26="","",I26+N(J26))</f>
        <v/>
      </c>
      <c r="L26" s="27"/>
      <c r="M26" s="26"/>
      <c r="N26" s="26"/>
      <c r="O26" s="29" t="str">
        <f aca="false">IF(E26="","",IFERROR(VLOOKUP(E26,상품관리!$A:$K,11,0),""))</f>
        <v/>
      </c>
      <c r="P26" s="28"/>
    </row>
    <row r="27" customFormat="false" ht="15" hidden="false" customHeight="true" outlineLevel="0" collapsed="false">
      <c r="A27" s="21"/>
      <c r="B27" s="21"/>
      <c r="C27" s="21"/>
      <c r="D27" s="24" t="str">
        <f aca="false">IF(C27="","",IFERROR(VLOOKUP(C27,회원관리!$A:$C,3,0),"미등록"))</f>
        <v/>
      </c>
      <c r="E27" s="23"/>
      <c r="F27" s="24" t="str">
        <f aca="false">IF(E27="","",IFERROR(VLOOKUP(E27,상품관리!$A:$C,3,0),"미등록"))</f>
        <v/>
      </c>
      <c r="G27" s="21"/>
      <c r="H27" s="54" t="str">
        <f aca="false">IF(E27="","",IFERROR(VLOOKUP(E27,상품관리!$A:$F,6,0),0))</f>
        <v/>
      </c>
      <c r="I27" s="54" t="str">
        <f aca="false">IF(OR(G27="",H27=""),"",G27*H27)</f>
        <v/>
      </c>
      <c r="J27" s="40"/>
      <c r="K27" s="54" t="str">
        <f aca="false">IF(I27="","",I27+N(J27))</f>
        <v/>
      </c>
      <c r="L27" s="22"/>
      <c r="M27" s="21"/>
      <c r="N27" s="21"/>
      <c r="O27" s="24" t="str">
        <f aca="false">IF(E27="","",IFERROR(VLOOKUP(E27,상품관리!$A:$K,11,0),""))</f>
        <v/>
      </c>
      <c r="P27" s="23"/>
    </row>
    <row r="28" customFormat="false" ht="15" hidden="false" customHeight="true" outlineLevel="0" collapsed="false">
      <c r="A28" s="26"/>
      <c r="B28" s="26"/>
      <c r="C28" s="26"/>
      <c r="D28" s="29" t="str">
        <f aca="false">IF(C28="","",IFERROR(VLOOKUP(C28,회원관리!$A:$C,3,0),"미등록"))</f>
        <v/>
      </c>
      <c r="E28" s="28"/>
      <c r="F28" s="29" t="str">
        <f aca="false">IF(E28="","",IFERROR(VLOOKUP(E28,상품관리!$A:$C,3,0),"미등록"))</f>
        <v/>
      </c>
      <c r="G28" s="26"/>
      <c r="H28" s="55" t="str">
        <f aca="false">IF(E28="","",IFERROR(VLOOKUP(E28,상품관리!$A:$F,6,0),0))</f>
        <v/>
      </c>
      <c r="I28" s="55" t="str">
        <f aca="false">IF(OR(G28="",H28=""),"",G28*H28)</f>
        <v/>
      </c>
      <c r="J28" s="43"/>
      <c r="K28" s="55" t="str">
        <f aca="false">IF(I28="","",I28+N(J28))</f>
        <v/>
      </c>
      <c r="L28" s="27"/>
      <c r="M28" s="26"/>
      <c r="N28" s="26"/>
      <c r="O28" s="29" t="str">
        <f aca="false">IF(E28="","",IFERROR(VLOOKUP(E28,상품관리!$A:$K,11,0),""))</f>
        <v/>
      </c>
      <c r="P28" s="28"/>
    </row>
    <row r="29" customFormat="false" ht="15" hidden="false" customHeight="true" outlineLevel="0" collapsed="false">
      <c r="A29" s="21"/>
      <c r="B29" s="21"/>
      <c r="C29" s="21"/>
      <c r="D29" s="24" t="str">
        <f aca="false">IF(C29="","",IFERROR(VLOOKUP(C29,회원관리!$A:$C,3,0),"미등록"))</f>
        <v/>
      </c>
      <c r="E29" s="23"/>
      <c r="F29" s="24" t="str">
        <f aca="false">IF(E29="","",IFERROR(VLOOKUP(E29,상품관리!$A:$C,3,0),"미등록"))</f>
        <v/>
      </c>
      <c r="G29" s="21"/>
      <c r="H29" s="54" t="str">
        <f aca="false">IF(E29="","",IFERROR(VLOOKUP(E29,상품관리!$A:$F,6,0),0))</f>
        <v/>
      </c>
      <c r="I29" s="54" t="str">
        <f aca="false">IF(OR(G29="",H29=""),"",G29*H29)</f>
        <v/>
      </c>
      <c r="J29" s="40"/>
      <c r="K29" s="54" t="str">
        <f aca="false">IF(I29="","",I29+N(J29))</f>
        <v/>
      </c>
      <c r="L29" s="22"/>
      <c r="M29" s="21"/>
      <c r="N29" s="21"/>
      <c r="O29" s="24" t="str">
        <f aca="false">IF(E29="","",IFERROR(VLOOKUP(E29,상품관리!$A:$K,11,0),""))</f>
        <v/>
      </c>
      <c r="P29" s="23"/>
    </row>
    <row r="30" customFormat="false" ht="15" hidden="false" customHeight="true" outlineLevel="0" collapsed="false">
      <c r="A30" s="26"/>
      <c r="B30" s="26"/>
      <c r="C30" s="26"/>
      <c r="D30" s="29" t="str">
        <f aca="false">IF(C30="","",IFERROR(VLOOKUP(C30,회원관리!$A:$C,3,0),"미등록"))</f>
        <v/>
      </c>
      <c r="E30" s="28"/>
      <c r="F30" s="29" t="str">
        <f aca="false">IF(E30="","",IFERROR(VLOOKUP(E30,상품관리!$A:$C,3,0),"미등록"))</f>
        <v/>
      </c>
      <c r="G30" s="26"/>
      <c r="H30" s="55" t="str">
        <f aca="false">IF(E30="","",IFERROR(VLOOKUP(E30,상품관리!$A:$F,6,0),0))</f>
        <v/>
      </c>
      <c r="I30" s="55" t="str">
        <f aca="false">IF(OR(G30="",H30=""),"",G30*H30)</f>
        <v/>
      </c>
      <c r="J30" s="43"/>
      <c r="K30" s="55" t="str">
        <f aca="false">IF(I30="","",I30+N(J30))</f>
        <v/>
      </c>
      <c r="L30" s="27"/>
      <c r="M30" s="26"/>
      <c r="N30" s="26"/>
      <c r="O30" s="29" t="str">
        <f aca="false">IF(E30="","",IFERROR(VLOOKUP(E30,상품관리!$A:$K,11,0),""))</f>
        <v/>
      </c>
      <c r="P30" s="28"/>
    </row>
    <row r="31" customFormat="false" ht="15" hidden="false" customHeight="true" outlineLevel="0" collapsed="false">
      <c r="A31" s="21"/>
      <c r="B31" s="21"/>
      <c r="C31" s="21"/>
      <c r="D31" s="24" t="str">
        <f aca="false">IF(C31="","",IFERROR(VLOOKUP(C31,회원관리!$A:$C,3,0),"미등록"))</f>
        <v/>
      </c>
      <c r="E31" s="23"/>
      <c r="F31" s="24" t="str">
        <f aca="false">IF(E31="","",IFERROR(VLOOKUP(E31,상품관리!$A:$C,3,0),"미등록"))</f>
        <v/>
      </c>
      <c r="G31" s="21"/>
      <c r="H31" s="54" t="str">
        <f aca="false">IF(E31="","",IFERROR(VLOOKUP(E31,상품관리!$A:$F,6,0),0))</f>
        <v/>
      </c>
      <c r="I31" s="54" t="str">
        <f aca="false">IF(OR(G31="",H31=""),"",G31*H31)</f>
        <v/>
      </c>
      <c r="J31" s="40"/>
      <c r="K31" s="54" t="str">
        <f aca="false">IF(I31="","",I31+N(J31))</f>
        <v/>
      </c>
      <c r="L31" s="22"/>
      <c r="M31" s="21"/>
      <c r="N31" s="21"/>
      <c r="O31" s="24" t="str">
        <f aca="false">IF(E31="","",IFERROR(VLOOKUP(E31,상품관리!$A:$K,11,0),""))</f>
        <v/>
      </c>
      <c r="P31" s="23"/>
    </row>
    <row r="32" customFormat="false" ht="15" hidden="false" customHeight="true" outlineLevel="0" collapsed="false">
      <c r="A32" s="26"/>
      <c r="B32" s="26"/>
      <c r="C32" s="26"/>
      <c r="D32" s="29" t="str">
        <f aca="false">IF(C32="","",IFERROR(VLOOKUP(C32,회원관리!$A:$C,3,0),"미등록"))</f>
        <v/>
      </c>
      <c r="E32" s="28"/>
      <c r="F32" s="29" t="str">
        <f aca="false">IF(E32="","",IFERROR(VLOOKUP(E32,상품관리!$A:$C,3,0),"미등록"))</f>
        <v/>
      </c>
      <c r="G32" s="26"/>
      <c r="H32" s="55" t="str">
        <f aca="false">IF(E32="","",IFERROR(VLOOKUP(E32,상품관리!$A:$F,6,0),0))</f>
        <v/>
      </c>
      <c r="I32" s="55" t="str">
        <f aca="false">IF(OR(G32="",H32=""),"",G32*H32)</f>
        <v/>
      </c>
      <c r="J32" s="43"/>
      <c r="K32" s="55" t="str">
        <f aca="false">IF(I32="","",I32+N(J32))</f>
        <v/>
      </c>
      <c r="L32" s="27"/>
      <c r="M32" s="26"/>
      <c r="N32" s="26"/>
      <c r="O32" s="29" t="str">
        <f aca="false">IF(E32="","",IFERROR(VLOOKUP(E32,상품관리!$A:$K,11,0),""))</f>
        <v/>
      </c>
      <c r="P32" s="28"/>
    </row>
    <row r="33" customFormat="false" ht="15" hidden="false" customHeight="true" outlineLevel="0" collapsed="false">
      <c r="A33" s="21"/>
      <c r="B33" s="21"/>
      <c r="C33" s="21"/>
      <c r="D33" s="24" t="str">
        <f aca="false">IF(C33="","",IFERROR(VLOOKUP(C33,회원관리!$A:$C,3,0),"미등록"))</f>
        <v/>
      </c>
      <c r="E33" s="23"/>
      <c r="F33" s="24" t="str">
        <f aca="false">IF(E33="","",IFERROR(VLOOKUP(E33,상품관리!$A:$C,3,0),"미등록"))</f>
        <v/>
      </c>
      <c r="G33" s="21"/>
      <c r="H33" s="54" t="str">
        <f aca="false">IF(E33="","",IFERROR(VLOOKUP(E33,상품관리!$A:$F,6,0),0))</f>
        <v/>
      </c>
      <c r="I33" s="54" t="str">
        <f aca="false">IF(OR(G33="",H33=""),"",G33*H33)</f>
        <v/>
      </c>
      <c r="J33" s="40"/>
      <c r="K33" s="54" t="str">
        <f aca="false">IF(I33="","",I33+N(J33))</f>
        <v/>
      </c>
      <c r="L33" s="22"/>
      <c r="M33" s="21"/>
      <c r="N33" s="21"/>
      <c r="O33" s="24" t="str">
        <f aca="false">IF(E33="","",IFERROR(VLOOKUP(E33,상품관리!$A:$K,11,0),""))</f>
        <v/>
      </c>
      <c r="P33" s="23"/>
    </row>
    <row r="34" customFormat="false" ht="15" hidden="false" customHeight="true" outlineLevel="0" collapsed="false">
      <c r="A34" s="26"/>
      <c r="B34" s="26"/>
      <c r="C34" s="26"/>
      <c r="D34" s="29" t="str">
        <f aca="false">IF(C34="","",IFERROR(VLOOKUP(C34,회원관리!$A:$C,3,0),"미등록"))</f>
        <v/>
      </c>
      <c r="E34" s="28"/>
      <c r="F34" s="29" t="str">
        <f aca="false">IF(E34="","",IFERROR(VLOOKUP(E34,상품관리!$A:$C,3,0),"미등록"))</f>
        <v/>
      </c>
      <c r="G34" s="26"/>
      <c r="H34" s="55" t="str">
        <f aca="false">IF(E34="","",IFERROR(VLOOKUP(E34,상품관리!$A:$F,6,0),0))</f>
        <v/>
      </c>
      <c r="I34" s="55" t="str">
        <f aca="false">IF(OR(G34="",H34=""),"",G34*H34)</f>
        <v/>
      </c>
      <c r="J34" s="43"/>
      <c r="K34" s="55" t="str">
        <f aca="false">IF(I34="","",I34+N(J34))</f>
        <v/>
      </c>
      <c r="L34" s="27"/>
      <c r="M34" s="26"/>
      <c r="N34" s="26"/>
      <c r="O34" s="29" t="str">
        <f aca="false">IF(E34="","",IFERROR(VLOOKUP(E34,상품관리!$A:$K,11,0),""))</f>
        <v/>
      </c>
      <c r="P34" s="28"/>
    </row>
    <row r="35" customFormat="false" ht="15" hidden="false" customHeight="true" outlineLevel="0" collapsed="false">
      <c r="A35" s="21"/>
      <c r="B35" s="21"/>
      <c r="C35" s="21"/>
      <c r="D35" s="24" t="str">
        <f aca="false">IF(C35="","",IFERROR(VLOOKUP(C35,회원관리!$A:$C,3,0),"미등록"))</f>
        <v/>
      </c>
      <c r="E35" s="23"/>
      <c r="F35" s="24" t="str">
        <f aca="false">IF(E35="","",IFERROR(VLOOKUP(E35,상품관리!$A:$C,3,0),"미등록"))</f>
        <v/>
      </c>
      <c r="G35" s="21"/>
      <c r="H35" s="54" t="str">
        <f aca="false">IF(E35="","",IFERROR(VLOOKUP(E35,상품관리!$A:$F,6,0),0))</f>
        <v/>
      </c>
      <c r="I35" s="54" t="str">
        <f aca="false">IF(OR(G35="",H35=""),"",G35*H35)</f>
        <v/>
      </c>
      <c r="J35" s="40"/>
      <c r="K35" s="54" t="str">
        <f aca="false">IF(I35="","",I35+N(J35))</f>
        <v/>
      </c>
      <c r="L35" s="22"/>
      <c r="M35" s="21"/>
      <c r="N35" s="21"/>
      <c r="O35" s="24" t="str">
        <f aca="false">IF(E35="","",IFERROR(VLOOKUP(E35,상품관리!$A:$K,11,0),""))</f>
        <v/>
      </c>
      <c r="P35" s="23"/>
    </row>
    <row r="36" customFormat="false" ht="15" hidden="false" customHeight="true" outlineLevel="0" collapsed="false">
      <c r="A36" s="26"/>
      <c r="B36" s="26"/>
      <c r="C36" s="26"/>
      <c r="D36" s="29" t="str">
        <f aca="false">IF(C36="","",IFERROR(VLOOKUP(C36,회원관리!$A:$C,3,0),"미등록"))</f>
        <v/>
      </c>
      <c r="E36" s="28"/>
      <c r="F36" s="29" t="str">
        <f aca="false">IF(E36="","",IFERROR(VLOOKUP(E36,상품관리!$A:$C,3,0),"미등록"))</f>
        <v/>
      </c>
      <c r="G36" s="26"/>
      <c r="H36" s="55" t="str">
        <f aca="false">IF(E36="","",IFERROR(VLOOKUP(E36,상품관리!$A:$F,6,0),0))</f>
        <v/>
      </c>
      <c r="I36" s="55" t="str">
        <f aca="false">IF(OR(G36="",H36=""),"",G36*H36)</f>
        <v/>
      </c>
      <c r="J36" s="43"/>
      <c r="K36" s="55" t="str">
        <f aca="false">IF(I36="","",I36+N(J36))</f>
        <v/>
      </c>
      <c r="L36" s="27"/>
      <c r="M36" s="26"/>
      <c r="N36" s="26"/>
      <c r="O36" s="29" t="str">
        <f aca="false">IF(E36="","",IFERROR(VLOOKUP(E36,상품관리!$A:$K,11,0),""))</f>
        <v/>
      </c>
      <c r="P36" s="28"/>
    </row>
    <row r="37" customFormat="false" ht="15" hidden="false" customHeight="true" outlineLevel="0" collapsed="false">
      <c r="A37" s="21"/>
      <c r="B37" s="21"/>
      <c r="C37" s="21"/>
      <c r="D37" s="24" t="str">
        <f aca="false">IF(C37="","",IFERROR(VLOOKUP(C37,회원관리!$A:$C,3,0),"미등록"))</f>
        <v/>
      </c>
      <c r="E37" s="23"/>
      <c r="F37" s="24" t="str">
        <f aca="false">IF(E37="","",IFERROR(VLOOKUP(E37,상품관리!$A:$C,3,0),"미등록"))</f>
        <v/>
      </c>
      <c r="G37" s="21"/>
      <c r="H37" s="54" t="str">
        <f aca="false">IF(E37="","",IFERROR(VLOOKUP(E37,상품관리!$A:$F,6,0),0))</f>
        <v/>
      </c>
      <c r="I37" s="54" t="str">
        <f aca="false">IF(OR(G37="",H37=""),"",G37*H37)</f>
        <v/>
      </c>
      <c r="J37" s="40"/>
      <c r="K37" s="54" t="str">
        <f aca="false">IF(I37="","",I37+N(J37))</f>
        <v/>
      </c>
      <c r="L37" s="22"/>
      <c r="M37" s="21"/>
      <c r="N37" s="21"/>
      <c r="O37" s="24" t="str">
        <f aca="false">IF(E37="","",IFERROR(VLOOKUP(E37,상품관리!$A:$K,11,0),""))</f>
        <v/>
      </c>
      <c r="P37" s="23"/>
    </row>
    <row r="38" customFormat="false" ht="15" hidden="false" customHeight="true" outlineLevel="0" collapsed="false">
      <c r="A38" s="26"/>
      <c r="B38" s="26"/>
      <c r="C38" s="26"/>
      <c r="D38" s="29" t="str">
        <f aca="false">IF(C38="","",IFERROR(VLOOKUP(C38,회원관리!$A:$C,3,0),"미등록"))</f>
        <v/>
      </c>
      <c r="E38" s="28"/>
      <c r="F38" s="29" t="str">
        <f aca="false">IF(E38="","",IFERROR(VLOOKUP(E38,상품관리!$A:$C,3,0),"미등록"))</f>
        <v/>
      </c>
      <c r="G38" s="26"/>
      <c r="H38" s="55" t="str">
        <f aca="false">IF(E38="","",IFERROR(VLOOKUP(E38,상품관리!$A:$F,6,0),0))</f>
        <v/>
      </c>
      <c r="I38" s="55" t="str">
        <f aca="false">IF(OR(G38="",H38=""),"",G38*H38)</f>
        <v/>
      </c>
      <c r="J38" s="43"/>
      <c r="K38" s="55" t="str">
        <f aca="false">IF(I38="","",I38+N(J38))</f>
        <v/>
      </c>
      <c r="L38" s="27"/>
      <c r="M38" s="26"/>
      <c r="N38" s="26"/>
      <c r="O38" s="29" t="str">
        <f aca="false">IF(E38="","",IFERROR(VLOOKUP(E38,상품관리!$A:$K,11,0),""))</f>
        <v/>
      </c>
      <c r="P38" s="28"/>
    </row>
    <row r="39" customFormat="false" ht="15" hidden="false" customHeight="true" outlineLevel="0" collapsed="false">
      <c r="A39" s="21"/>
      <c r="B39" s="21"/>
      <c r="C39" s="21"/>
      <c r="D39" s="24" t="str">
        <f aca="false">IF(C39="","",IFERROR(VLOOKUP(C39,회원관리!$A:$C,3,0),"미등록"))</f>
        <v/>
      </c>
      <c r="E39" s="23"/>
      <c r="F39" s="24" t="str">
        <f aca="false">IF(E39="","",IFERROR(VLOOKUP(E39,상품관리!$A:$C,3,0),"미등록"))</f>
        <v/>
      </c>
      <c r="G39" s="21"/>
      <c r="H39" s="54" t="str">
        <f aca="false">IF(E39="","",IFERROR(VLOOKUP(E39,상품관리!$A:$F,6,0),0))</f>
        <v/>
      </c>
      <c r="I39" s="54" t="str">
        <f aca="false">IF(OR(G39="",H39=""),"",G39*H39)</f>
        <v/>
      </c>
      <c r="J39" s="40"/>
      <c r="K39" s="54" t="str">
        <f aca="false">IF(I39="","",I39+N(J39))</f>
        <v/>
      </c>
      <c r="L39" s="22"/>
      <c r="M39" s="21"/>
      <c r="N39" s="21"/>
      <c r="O39" s="24" t="str">
        <f aca="false">IF(E39="","",IFERROR(VLOOKUP(E39,상품관리!$A:$K,11,0),""))</f>
        <v/>
      </c>
      <c r="P39" s="23"/>
    </row>
    <row r="40" customFormat="false" ht="15" hidden="false" customHeight="true" outlineLevel="0" collapsed="false">
      <c r="A40" s="26"/>
      <c r="B40" s="26"/>
      <c r="C40" s="26"/>
      <c r="D40" s="29" t="str">
        <f aca="false">IF(C40="","",IFERROR(VLOOKUP(C40,회원관리!$A:$C,3,0),"미등록"))</f>
        <v/>
      </c>
      <c r="E40" s="28"/>
      <c r="F40" s="29" t="str">
        <f aca="false">IF(E40="","",IFERROR(VLOOKUP(E40,상품관리!$A:$C,3,0),"미등록"))</f>
        <v/>
      </c>
      <c r="G40" s="26"/>
      <c r="H40" s="55" t="str">
        <f aca="false">IF(E40="","",IFERROR(VLOOKUP(E40,상품관리!$A:$F,6,0),0))</f>
        <v/>
      </c>
      <c r="I40" s="55" t="str">
        <f aca="false">IF(OR(G40="",H40=""),"",G40*H40)</f>
        <v/>
      </c>
      <c r="J40" s="43"/>
      <c r="K40" s="55" t="str">
        <f aca="false">IF(I40="","",I40+N(J40))</f>
        <v/>
      </c>
      <c r="L40" s="27"/>
      <c r="M40" s="26"/>
      <c r="N40" s="26"/>
      <c r="O40" s="29" t="str">
        <f aca="false">IF(E40="","",IFERROR(VLOOKUP(E40,상품관리!$A:$K,11,0),""))</f>
        <v/>
      </c>
      <c r="P40" s="28"/>
    </row>
    <row r="41" customFormat="false" ht="15" hidden="false" customHeight="true" outlineLevel="0" collapsed="false">
      <c r="A41" s="21"/>
      <c r="B41" s="21"/>
      <c r="C41" s="21"/>
      <c r="D41" s="24" t="str">
        <f aca="false">IF(C41="","",IFERROR(VLOOKUP(C41,회원관리!$A:$C,3,0),"미등록"))</f>
        <v/>
      </c>
      <c r="E41" s="23"/>
      <c r="F41" s="24" t="str">
        <f aca="false">IF(E41="","",IFERROR(VLOOKUP(E41,상품관리!$A:$C,3,0),"미등록"))</f>
        <v/>
      </c>
      <c r="G41" s="21"/>
      <c r="H41" s="54" t="str">
        <f aca="false">IF(E41="","",IFERROR(VLOOKUP(E41,상품관리!$A:$F,6,0),0))</f>
        <v/>
      </c>
      <c r="I41" s="54" t="str">
        <f aca="false">IF(OR(G41="",H41=""),"",G41*H41)</f>
        <v/>
      </c>
      <c r="J41" s="40"/>
      <c r="K41" s="54" t="str">
        <f aca="false">IF(I41="","",I41+N(J41))</f>
        <v/>
      </c>
      <c r="L41" s="22"/>
      <c r="M41" s="21"/>
      <c r="N41" s="21"/>
      <c r="O41" s="24" t="str">
        <f aca="false">IF(E41="","",IFERROR(VLOOKUP(E41,상품관리!$A:$K,11,0),""))</f>
        <v/>
      </c>
      <c r="P41" s="23"/>
    </row>
    <row r="42" customFormat="false" ht="15" hidden="false" customHeight="true" outlineLevel="0" collapsed="false">
      <c r="A42" s="26"/>
      <c r="B42" s="26"/>
      <c r="C42" s="26"/>
      <c r="D42" s="29" t="str">
        <f aca="false">IF(C42="","",IFERROR(VLOOKUP(C42,회원관리!$A:$C,3,0),"미등록"))</f>
        <v/>
      </c>
      <c r="E42" s="28"/>
      <c r="F42" s="29" t="str">
        <f aca="false">IF(E42="","",IFERROR(VLOOKUP(E42,상품관리!$A:$C,3,0),"미등록"))</f>
        <v/>
      </c>
      <c r="G42" s="26"/>
      <c r="H42" s="55" t="str">
        <f aca="false">IF(E42="","",IFERROR(VLOOKUP(E42,상품관리!$A:$F,6,0),0))</f>
        <v/>
      </c>
      <c r="I42" s="55" t="str">
        <f aca="false">IF(OR(G42="",H42=""),"",G42*H42)</f>
        <v/>
      </c>
      <c r="J42" s="43"/>
      <c r="K42" s="55" t="str">
        <f aca="false">IF(I42="","",I42+N(J42))</f>
        <v/>
      </c>
      <c r="L42" s="27"/>
      <c r="M42" s="26"/>
      <c r="N42" s="26"/>
      <c r="O42" s="29" t="str">
        <f aca="false">IF(E42="","",IFERROR(VLOOKUP(E42,상품관리!$A:$K,11,0),""))</f>
        <v/>
      </c>
      <c r="P42" s="28"/>
    </row>
    <row r="43" customFormat="false" ht="15" hidden="false" customHeight="true" outlineLevel="0" collapsed="false">
      <c r="A43" s="21"/>
      <c r="B43" s="21"/>
      <c r="C43" s="21"/>
      <c r="D43" s="24" t="str">
        <f aca="false">IF(C43="","",IFERROR(VLOOKUP(C43,회원관리!$A:$C,3,0),"미등록"))</f>
        <v/>
      </c>
      <c r="E43" s="23"/>
      <c r="F43" s="24" t="str">
        <f aca="false">IF(E43="","",IFERROR(VLOOKUP(E43,상품관리!$A:$C,3,0),"미등록"))</f>
        <v/>
      </c>
      <c r="G43" s="21"/>
      <c r="H43" s="54" t="str">
        <f aca="false">IF(E43="","",IFERROR(VLOOKUP(E43,상품관리!$A:$F,6,0),0))</f>
        <v/>
      </c>
      <c r="I43" s="54" t="str">
        <f aca="false">IF(OR(G43="",H43=""),"",G43*H43)</f>
        <v/>
      </c>
      <c r="J43" s="40"/>
      <c r="K43" s="54" t="str">
        <f aca="false">IF(I43="","",I43+N(J43))</f>
        <v/>
      </c>
      <c r="L43" s="22"/>
      <c r="M43" s="21"/>
      <c r="N43" s="21"/>
      <c r="O43" s="24" t="str">
        <f aca="false">IF(E43="","",IFERROR(VLOOKUP(E43,상품관리!$A:$K,11,0),""))</f>
        <v/>
      </c>
      <c r="P43" s="23"/>
    </row>
    <row r="44" customFormat="false" ht="15" hidden="false" customHeight="true" outlineLevel="0" collapsed="false">
      <c r="A44" s="26"/>
      <c r="B44" s="26"/>
      <c r="C44" s="26"/>
      <c r="D44" s="29" t="str">
        <f aca="false">IF(C44="","",IFERROR(VLOOKUP(C44,회원관리!$A:$C,3,0),"미등록"))</f>
        <v/>
      </c>
      <c r="E44" s="28"/>
      <c r="F44" s="29" t="str">
        <f aca="false">IF(E44="","",IFERROR(VLOOKUP(E44,상품관리!$A:$C,3,0),"미등록"))</f>
        <v/>
      </c>
      <c r="G44" s="26"/>
      <c r="H44" s="55" t="str">
        <f aca="false">IF(E44="","",IFERROR(VLOOKUP(E44,상품관리!$A:$F,6,0),0))</f>
        <v/>
      </c>
      <c r="I44" s="55" t="str">
        <f aca="false">IF(OR(G44="",H44=""),"",G44*H44)</f>
        <v/>
      </c>
      <c r="J44" s="43"/>
      <c r="K44" s="55" t="str">
        <f aca="false">IF(I44="","",I44+N(J44))</f>
        <v/>
      </c>
      <c r="L44" s="27"/>
      <c r="M44" s="26"/>
      <c r="N44" s="26"/>
      <c r="O44" s="29" t="str">
        <f aca="false">IF(E44="","",IFERROR(VLOOKUP(E44,상품관리!$A:$K,11,0),""))</f>
        <v/>
      </c>
      <c r="P44" s="28"/>
    </row>
    <row r="45" customFormat="false" ht="15" hidden="false" customHeight="true" outlineLevel="0" collapsed="false">
      <c r="A45" s="21"/>
      <c r="B45" s="21"/>
      <c r="C45" s="21"/>
      <c r="D45" s="24" t="str">
        <f aca="false">IF(C45="","",IFERROR(VLOOKUP(C45,회원관리!$A:$C,3,0),"미등록"))</f>
        <v/>
      </c>
      <c r="E45" s="23"/>
      <c r="F45" s="24" t="str">
        <f aca="false">IF(E45="","",IFERROR(VLOOKUP(E45,상품관리!$A:$C,3,0),"미등록"))</f>
        <v/>
      </c>
      <c r="G45" s="21"/>
      <c r="H45" s="54" t="str">
        <f aca="false">IF(E45="","",IFERROR(VLOOKUP(E45,상품관리!$A:$F,6,0),0))</f>
        <v/>
      </c>
      <c r="I45" s="54" t="str">
        <f aca="false">IF(OR(G45="",H45=""),"",G45*H45)</f>
        <v/>
      </c>
      <c r="J45" s="40"/>
      <c r="K45" s="54" t="str">
        <f aca="false">IF(I45="","",I45+N(J45))</f>
        <v/>
      </c>
      <c r="L45" s="22"/>
      <c r="M45" s="21"/>
      <c r="N45" s="21"/>
      <c r="O45" s="24" t="str">
        <f aca="false">IF(E45="","",IFERROR(VLOOKUP(E45,상품관리!$A:$K,11,0),""))</f>
        <v/>
      </c>
      <c r="P45" s="23"/>
    </row>
    <row r="46" customFormat="false" ht="15" hidden="false" customHeight="true" outlineLevel="0" collapsed="false">
      <c r="A46" s="26"/>
      <c r="B46" s="26"/>
      <c r="C46" s="26"/>
      <c r="D46" s="29" t="str">
        <f aca="false">IF(C46="","",IFERROR(VLOOKUP(C46,회원관리!$A:$C,3,0),"미등록"))</f>
        <v/>
      </c>
      <c r="E46" s="28"/>
      <c r="F46" s="29" t="str">
        <f aca="false">IF(E46="","",IFERROR(VLOOKUP(E46,상품관리!$A:$C,3,0),"미등록"))</f>
        <v/>
      </c>
      <c r="G46" s="26"/>
      <c r="H46" s="55" t="str">
        <f aca="false">IF(E46="","",IFERROR(VLOOKUP(E46,상품관리!$A:$F,6,0),0))</f>
        <v/>
      </c>
      <c r="I46" s="55" t="str">
        <f aca="false">IF(OR(G46="",H46=""),"",G46*H46)</f>
        <v/>
      </c>
      <c r="J46" s="43"/>
      <c r="K46" s="55" t="str">
        <f aca="false">IF(I46="","",I46+N(J46))</f>
        <v/>
      </c>
      <c r="L46" s="27"/>
      <c r="M46" s="26"/>
      <c r="N46" s="26"/>
      <c r="O46" s="29" t="str">
        <f aca="false">IF(E46="","",IFERROR(VLOOKUP(E46,상품관리!$A:$K,11,0),""))</f>
        <v/>
      </c>
      <c r="P46" s="28"/>
    </row>
    <row r="47" customFormat="false" ht="15" hidden="false" customHeight="true" outlineLevel="0" collapsed="false">
      <c r="A47" s="21"/>
      <c r="B47" s="21"/>
      <c r="C47" s="21"/>
      <c r="D47" s="24" t="str">
        <f aca="false">IF(C47="","",IFERROR(VLOOKUP(C47,회원관리!$A:$C,3,0),"미등록"))</f>
        <v/>
      </c>
      <c r="E47" s="23"/>
      <c r="F47" s="24" t="str">
        <f aca="false">IF(E47="","",IFERROR(VLOOKUP(E47,상품관리!$A:$C,3,0),"미등록"))</f>
        <v/>
      </c>
      <c r="G47" s="21"/>
      <c r="H47" s="54" t="str">
        <f aca="false">IF(E47="","",IFERROR(VLOOKUP(E47,상품관리!$A:$F,6,0),0))</f>
        <v/>
      </c>
      <c r="I47" s="54" t="str">
        <f aca="false">IF(OR(G47="",H47=""),"",G47*H47)</f>
        <v/>
      </c>
      <c r="J47" s="40"/>
      <c r="K47" s="54" t="str">
        <f aca="false">IF(I47="","",I47+N(J47))</f>
        <v/>
      </c>
      <c r="L47" s="22"/>
      <c r="M47" s="21"/>
      <c r="N47" s="21"/>
      <c r="O47" s="24" t="str">
        <f aca="false">IF(E47="","",IFERROR(VLOOKUP(E47,상품관리!$A:$K,11,0),""))</f>
        <v/>
      </c>
      <c r="P47" s="23"/>
    </row>
    <row r="48" customFormat="false" ht="15" hidden="false" customHeight="true" outlineLevel="0" collapsed="false">
      <c r="A48" s="26"/>
      <c r="B48" s="26"/>
      <c r="C48" s="26"/>
      <c r="D48" s="29" t="str">
        <f aca="false">IF(C48="","",IFERROR(VLOOKUP(C48,회원관리!$A:$C,3,0),"미등록"))</f>
        <v/>
      </c>
      <c r="E48" s="28"/>
      <c r="F48" s="29" t="str">
        <f aca="false">IF(E48="","",IFERROR(VLOOKUP(E48,상품관리!$A:$C,3,0),"미등록"))</f>
        <v/>
      </c>
      <c r="G48" s="26"/>
      <c r="H48" s="55" t="str">
        <f aca="false">IF(E48="","",IFERROR(VLOOKUP(E48,상품관리!$A:$F,6,0),0))</f>
        <v/>
      </c>
      <c r="I48" s="55" t="str">
        <f aca="false">IF(OR(G48="",H48=""),"",G48*H48)</f>
        <v/>
      </c>
      <c r="J48" s="43"/>
      <c r="K48" s="55" t="str">
        <f aca="false">IF(I48="","",I48+N(J48))</f>
        <v/>
      </c>
      <c r="L48" s="27"/>
      <c r="M48" s="26"/>
      <c r="N48" s="26"/>
      <c r="O48" s="29" t="str">
        <f aca="false">IF(E48="","",IFERROR(VLOOKUP(E48,상품관리!$A:$K,11,0),""))</f>
        <v/>
      </c>
      <c r="P48" s="28"/>
    </row>
    <row r="49" customFormat="false" ht="15" hidden="false" customHeight="true" outlineLevel="0" collapsed="false">
      <c r="A49" s="21"/>
      <c r="B49" s="21"/>
      <c r="C49" s="21"/>
      <c r="D49" s="24" t="str">
        <f aca="false">IF(C49="","",IFERROR(VLOOKUP(C49,회원관리!$A:$C,3,0),"미등록"))</f>
        <v/>
      </c>
      <c r="E49" s="23"/>
      <c r="F49" s="24" t="str">
        <f aca="false">IF(E49="","",IFERROR(VLOOKUP(E49,상품관리!$A:$C,3,0),"미등록"))</f>
        <v/>
      </c>
      <c r="G49" s="21"/>
      <c r="H49" s="54" t="str">
        <f aca="false">IF(E49="","",IFERROR(VLOOKUP(E49,상품관리!$A:$F,6,0),0))</f>
        <v/>
      </c>
      <c r="I49" s="54" t="str">
        <f aca="false">IF(OR(G49="",H49=""),"",G49*H49)</f>
        <v/>
      </c>
      <c r="J49" s="40"/>
      <c r="K49" s="54" t="str">
        <f aca="false">IF(I49="","",I49+N(J49))</f>
        <v/>
      </c>
      <c r="L49" s="22"/>
      <c r="M49" s="21"/>
      <c r="N49" s="21"/>
      <c r="O49" s="24" t="str">
        <f aca="false">IF(E49="","",IFERROR(VLOOKUP(E49,상품관리!$A:$K,11,0),""))</f>
        <v/>
      </c>
      <c r="P49" s="23"/>
    </row>
    <row r="50" customFormat="false" ht="15" hidden="false" customHeight="true" outlineLevel="0" collapsed="false">
      <c r="A50" s="26"/>
      <c r="B50" s="26"/>
      <c r="C50" s="26"/>
      <c r="D50" s="29" t="str">
        <f aca="false">IF(C50="","",IFERROR(VLOOKUP(C50,회원관리!$A:$C,3,0),"미등록"))</f>
        <v/>
      </c>
      <c r="E50" s="28"/>
      <c r="F50" s="29" t="str">
        <f aca="false">IF(E50="","",IFERROR(VLOOKUP(E50,상품관리!$A:$C,3,0),"미등록"))</f>
        <v/>
      </c>
      <c r="G50" s="26"/>
      <c r="H50" s="55" t="str">
        <f aca="false">IF(E50="","",IFERROR(VLOOKUP(E50,상품관리!$A:$F,6,0),0))</f>
        <v/>
      </c>
      <c r="I50" s="55" t="str">
        <f aca="false">IF(OR(G50="",H50=""),"",G50*H50)</f>
        <v/>
      </c>
      <c r="J50" s="43"/>
      <c r="K50" s="55" t="str">
        <f aca="false">IF(I50="","",I50+N(J50))</f>
        <v/>
      </c>
      <c r="L50" s="27"/>
      <c r="M50" s="26"/>
      <c r="N50" s="26"/>
      <c r="O50" s="29" t="str">
        <f aca="false">IF(E50="","",IFERROR(VLOOKUP(E50,상품관리!$A:$K,11,0),""))</f>
        <v/>
      </c>
      <c r="P50" s="28"/>
    </row>
    <row r="51" customFormat="false" ht="15" hidden="false" customHeight="true" outlineLevel="0" collapsed="false">
      <c r="A51" s="21"/>
      <c r="B51" s="21"/>
      <c r="C51" s="21"/>
      <c r="D51" s="24" t="str">
        <f aca="false">IF(C51="","",IFERROR(VLOOKUP(C51,회원관리!$A:$C,3,0),"미등록"))</f>
        <v/>
      </c>
      <c r="E51" s="23"/>
      <c r="F51" s="24" t="str">
        <f aca="false">IF(E51="","",IFERROR(VLOOKUP(E51,상품관리!$A:$C,3,0),"미등록"))</f>
        <v/>
      </c>
      <c r="G51" s="21"/>
      <c r="H51" s="54" t="str">
        <f aca="false">IF(E51="","",IFERROR(VLOOKUP(E51,상품관리!$A:$F,6,0),0))</f>
        <v/>
      </c>
      <c r="I51" s="54" t="str">
        <f aca="false">IF(OR(G51="",H51=""),"",G51*H51)</f>
        <v/>
      </c>
      <c r="J51" s="40"/>
      <c r="K51" s="54" t="str">
        <f aca="false">IF(I51="","",I51+N(J51))</f>
        <v/>
      </c>
      <c r="L51" s="22"/>
      <c r="M51" s="21"/>
      <c r="N51" s="21"/>
      <c r="O51" s="24" t="str">
        <f aca="false">IF(E51="","",IFERROR(VLOOKUP(E51,상품관리!$A:$K,11,0),""))</f>
        <v/>
      </c>
      <c r="P51" s="23"/>
    </row>
    <row r="52" customFormat="false" ht="15" hidden="false" customHeight="true" outlineLevel="0" collapsed="false">
      <c r="A52" s="26"/>
      <c r="B52" s="26"/>
      <c r="C52" s="26"/>
      <c r="D52" s="29" t="str">
        <f aca="false">IF(C52="","",IFERROR(VLOOKUP(C52,회원관리!$A:$C,3,0),"미등록"))</f>
        <v/>
      </c>
      <c r="E52" s="28"/>
      <c r="F52" s="29" t="str">
        <f aca="false">IF(E52="","",IFERROR(VLOOKUP(E52,상품관리!$A:$C,3,0),"미등록"))</f>
        <v/>
      </c>
      <c r="G52" s="26"/>
      <c r="H52" s="55" t="str">
        <f aca="false">IF(E52="","",IFERROR(VLOOKUP(E52,상품관리!$A:$F,6,0),0))</f>
        <v/>
      </c>
      <c r="I52" s="55" t="str">
        <f aca="false">IF(OR(G52="",H52=""),"",G52*H52)</f>
        <v/>
      </c>
      <c r="J52" s="43"/>
      <c r="K52" s="55" t="str">
        <f aca="false">IF(I52="","",I52+N(J52))</f>
        <v/>
      </c>
      <c r="L52" s="27"/>
      <c r="M52" s="26"/>
      <c r="N52" s="26"/>
      <c r="O52" s="29" t="str">
        <f aca="false">IF(E52="","",IFERROR(VLOOKUP(E52,상품관리!$A:$K,11,0),""))</f>
        <v/>
      </c>
      <c r="P52" s="28"/>
    </row>
    <row r="53" customFormat="false" ht="15" hidden="false" customHeight="true" outlineLevel="0" collapsed="false">
      <c r="A53" s="21"/>
      <c r="B53" s="21"/>
      <c r="C53" s="21"/>
      <c r="D53" s="24" t="str">
        <f aca="false">IF(C53="","",IFERROR(VLOOKUP(C53,회원관리!$A:$C,3,0),"미등록"))</f>
        <v/>
      </c>
      <c r="E53" s="23"/>
      <c r="F53" s="24" t="str">
        <f aca="false">IF(E53="","",IFERROR(VLOOKUP(E53,상품관리!$A:$C,3,0),"미등록"))</f>
        <v/>
      </c>
      <c r="G53" s="21"/>
      <c r="H53" s="54" t="str">
        <f aca="false">IF(E53="","",IFERROR(VLOOKUP(E53,상품관리!$A:$F,6,0),0))</f>
        <v/>
      </c>
      <c r="I53" s="54" t="str">
        <f aca="false">IF(OR(G53="",H53=""),"",G53*H53)</f>
        <v/>
      </c>
      <c r="J53" s="40"/>
      <c r="K53" s="54" t="str">
        <f aca="false">IF(I53="","",I53+N(J53))</f>
        <v/>
      </c>
      <c r="L53" s="22"/>
      <c r="M53" s="21"/>
      <c r="N53" s="21"/>
      <c r="O53" s="24" t="str">
        <f aca="false">IF(E53="","",IFERROR(VLOOKUP(E53,상품관리!$A:$K,11,0),""))</f>
        <v/>
      </c>
      <c r="P53" s="23"/>
    </row>
    <row r="54" customFormat="false" ht="15" hidden="false" customHeight="true" outlineLevel="0" collapsed="false">
      <c r="A54" s="26"/>
      <c r="B54" s="26"/>
      <c r="C54" s="26"/>
      <c r="D54" s="29" t="str">
        <f aca="false">IF(C54="","",IFERROR(VLOOKUP(C54,회원관리!$A:$C,3,0),"미등록"))</f>
        <v/>
      </c>
      <c r="E54" s="28"/>
      <c r="F54" s="29" t="str">
        <f aca="false">IF(E54="","",IFERROR(VLOOKUP(E54,상품관리!$A:$C,3,0),"미등록"))</f>
        <v/>
      </c>
      <c r="G54" s="26"/>
      <c r="H54" s="55" t="str">
        <f aca="false">IF(E54="","",IFERROR(VLOOKUP(E54,상품관리!$A:$F,6,0),0))</f>
        <v/>
      </c>
      <c r="I54" s="55" t="str">
        <f aca="false">IF(OR(G54="",H54=""),"",G54*H54)</f>
        <v/>
      </c>
      <c r="J54" s="43"/>
      <c r="K54" s="55" t="str">
        <f aca="false">IF(I54="","",I54+N(J54))</f>
        <v/>
      </c>
      <c r="L54" s="27"/>
      <c r="M54" s="26"/>
      <c r="N54" s="26"/>
      <c r="O54" s="29" t="str">
        <f aca="false">IF(E54="","",IFERROR(VLOOKUP(E54,상품관리!$A:$K,11,0),""))</f>
        <v/>
      </c>
      <c r="P54" s="28"/>
    </row>
    <row r="55" customFormat="false" ht="15" hidden="false" customHeight="true" outlineLevel="0" collapsed="false">
      <c r="A55" s="21"/>
      <c r="B55" s="21"/>
      <c r="C55" s="21"/>
      <c r="D55" s="24" t="str">
        <f aca="false">IF(C55="","",IFERROR(VLOOKUP(C55,회원관리!$A:$C,3,0),"미등록"))</f>
        <v/>
      </c>
      <c r="E55" s="23"/>
      <c r="F55" s="24" t="str">
        <f aca="false">IF(E55="","",IFERROR(VLOOKUP(E55,상품관리!$A:$C,3,0),"미등록"))</f>
        <v/>
      </c>
      <c r="G55" s="21"/>
      <c r="H55" s="54" t="str">
        <f aca="false">IF(E55="","",IFERROR(VLOOKUP(E55,상품관리!$A:$F,6,0),0))</f>
        <v/>
      </c>
      <c r="I55" s="54" t="str">
        <f aca="false">IF(OR(G55="",H55=""),"",G55*H55)</f>
        <v/>
      </c>
      <c r="J55" s="40"/>
      <c r="K55" s="54" t="str">
        <f aca="false">IF(I55="","",I55+N(J55))</f>
        <v/>
      </c>
      <c r="L55" s="22"/>
      <c r="M55" s="21"/>
      <c r="N55" s="21"/>
      <c r="O55" s="24" t="str">
        <f aca="false">IF(E55="","",IFERROR(VLOOKUP(E55,상품관리!$A:$K,11,0),""))</f>
        <v/>
      </c>
      <c r="P55" s="23"/>
    </row>
    <row r="56" customFormat="false" ht="15" hidden="false" customHeight="true" outlineLevel="0" collapsed="false">
      <c r="A56" s="26"/>
      <c r="B56" s="26"/>
      <c r="C56" s="26"/>
      <c r="D56" s="29" t="str">
        <f aca="false">IF(C56="","",IFERROR(VLOOKUP(C56,회원관리!$A:$C,3,0),"미등록"))</f>
        <v/>
      </c>
      <c r="E56" s="28"/>
      <c r="F56" s="29" t="str">
        <f aca="false">IF(E56="","",IFERROR(VLOOKUP(E56,상품관리!$A:$C,3,0),"미등록"))</f>
        <v/>
      </c>
      <c r="G56" s="26"/>
      <c r="H56" s="55" t="str">
        <f aca="false">IF(E56="","",IFERROR(VLOOKUP(E56,상품관리!$A:$F,6,0),0))</f>
        <v/>
      </c>
      <c r="I56" s="55" t="str">
        <f aca="false">IF(OR(G56="",H56=""),"",G56*H56)</f>
        <v/>
      </c>
      <c r="J56" s="43"/>
      <c r="K56" s="55" t="str">
        <f aca="false">IF(I56="","",I56+N(J56))</f>
        <v/>
      </c>
      <c r="L56" s="27"/>
      <c r="M56" s="26"/>
      <c r="N56" s="26"/>
      <c r="O56" s="29" t="str">
        <f aca="false">IF(E56="","",IFERROR(VLOOKUP(E56,상품관리!$A:$K,11,0),""))</f>
        <v/>
      </c>
      <c r="P56" s="28"/>
    </row>
    <row r="57" customFormat="false" ht="15" hidden="false" customHeight="true" outlineLevel="0" collapsed="false">
      <c r="A57" s="21"/>
      <c r="B57" s="21"/>
      <c r="C57" s="21"/>
      <c r="D57" s="24" t="str">
        <f aca="false">IF(C57="","",IFERROR(VLOOKUP(C57,회원관리!$A:$C,3,0),"미등록"))</f>
        <v/>
      </c>
      <c r="E57" s="23"/>
      <c r="F57" s="24" t="str">
        <f aca="false">IF(E57="","",IFERROR(VLOOKUP(E57,상품관리!$A:$C,3,0),"미등록"))</f>
        <v/>
      </c>
      <c r="G57" s="21"/>
      <c r="H57" s="54" t="str">
        <f aca="false">IF(E57="","",IFERROR(VLOOKUP(E57,상품관리!$A:$F,6,0),0))</f>
        <v/>
      </c>
      <c r="I57" s="54" t="str">
        <f aca="false">IF(OR(G57="",H57=""),"",G57*H57)</f>
        <v/>
      </c>
      <c r="J57" s="40"/>
      <c r="K57" s="54" t="str">
        <f aca="false">IF(I57="","",I57+N(J57))</f>
        <v/>
      </c>
      <c r="L57" s="22"/>
      <c r="M57" s="21"/>
      <c r="N57" s="21"/>
      <c r="O57" s="24" t="str">
        <f aca="false">IF(E57="","",IFERROR(VLOOKUP(E57,상품관리!$A:$K,11,0),""))</f>
        <v/>
      </c>
      <c r="P57" s="23"/>
    </row>
    <row r="58" customFormat="false" ht="15" hidden="false" customHeight="true" outlineLevel="0" collapsed="false">
      <c r="A58" s="26"/>
      <c r="B58" s="26"/>
      <c r="C58" s="26"/>
      <c r="D58" s="29" t="str">
        <f aca="false">IF(C58="","",IFERROR(VLOOKUP(C58,회원관리!$A:$C,3,0),"미등록"))</f>
        <v/>
      </c>
      <c r="E58" s="28"/>
      <c r="F58" s="29" t="str">
        <f aca="false">IF(E58="","",IFERROR(VLOOKUP(E58,상품관리!$A:$C,3,0),"미등록"))</f>
        <v/>
      </c>
      <c r="G58" s="26"/>
      <c r="H58" s="55" t="str">
        <f aca="false">IF(E58="","",IFERROR(VLOOKUP(E58,상품관리!$A:$F,6,0),0))</f>
        <v/>
      </c>
      <c r="I58" s="55" t="str">
        <f aca="false">IF(OR(G58="",H58=""),"",G58*H58)</f>
        <v/>
      </c>
      <c r="J58" s="43"/>
      <c r="K58" s="55" t="str">
        <f aca="false">IF(I58="","",I58+N(J58))</f>
        <v/>
      </c>
      <c r="L58" s="27"/>
      <c r="M58" s="26"/>
      <c r="N58" s="26"/>
      <c r="O58" s="29" t="str">
        <f aca="false">IF(E58="","",IFERROR(VLOOKUP(E58,상품관리!$A:$K,11,0),""))</f>
        <v/>
      </c>
      <c r="P58" s="28"/>
    </row>
    <row r="59" customFormat="false" ht="15" hidden="false" customHeight="true" outlineLevel="0" collapsed="false">
      <c r="A59" s="21"/>
      <c r="B59" s="21"/>
      <c r="C59" s="21"/>
      <c r="D59" s="24" t="str">
        <f aca="false">IF(C59="","",IFERROR(VLOOKUP(C59,회원관리!$A:$C,3,0),"미등록"))</f>
        <v/>
      </c>
      <c r="E59" s="23"/>
      <c r="F59" s="24" t="str">
        <f aca="false">IF(E59="","",IFERROR(VLOOKUP(E59,상품관리!$A:$C,3,0),"미등록"))</f>
        <v/>
      </c>
      <c r="G59" s="21"/>
      <c r="H59" s="54" t="str">
        <f aca="false">IF(E59="","",IFERROR(VLOOKUP(E59,상품관리!$A:$F,6,0),0))</f>
        <v/>
      </c>
      <c r="I59" s="54" t="str">
        <f aca="false">IF(OR(G59="",H59=""),"",G59*H59)</f>
        <v/>
      </c>
      <c r="J59" s="40"/>
      <c r="K59" s="54" t="str">
        <f aca="false">IF(I59="","",I59+N(J59))</f>
        <v/>
      </c>
      <c r="L59" s="22"/>
      <c r="M59" s="21"/>
      <c r="N59" s="21"/>
      <c r="O59" s="24" t="str">
        <f aca="false">IF(E59="","",IFERROR(VLOOKUP(E59,상품관리!$A:$K,11,0),""))</f>
        <v/>
      </c>
      <c r="P59" s="23"/>
    </row>
    <row r="60" customFormat="false" ht="15" hidden="false" customHeight="true" outlineLevel="0" collapsed="false">
      <c r="A60" s="26"/>
      <c r="B60" s="26"/>
      <c r="C60" s="26"/>
      <c r="D60" s="29" t="str">
        <f aca="false">IF(C60="","",IFERROR(VLOOKUP(C60,회원관리!$A:$C,3,0),"미등록"))</f>
        <v/>
      </c>
      <c r="E60" s="28"/>
      <c r="F60" s="29" t="str">
        <f aca="false">IF(E60="","",IFERROR(VLOOKUP(E60,상품관리!$A:$C,3,0),"미등록"))</f>
        <v/>
      </c>
      <c r="G60" s="26"/>
      <c r="H60" s="55" t="str">
        <f aca="false">IF(E60="","",IFERROR(VLOOKUP(E60,상품관리!$A:$F,6,0),0))</f>
        <v/>
      </c>
      <c r="I60" s="55" t="str">
        <f aca="false">IF(OR(G60="",H60=""),"",G60*H60)</f>
        <v/>
      </c>
      <c r="J60" s="43"/>
      <c r="K60" s="55" t="str">
        <f aca="false">IF(I60="","",I60+N(J60))</f>
        <v/>
      </c>
      <c r="L60" s="27"/>
      <c r="M60" s="26"/>
      <c r="N60" s="26"/>
      <c r="O60" s="29" t="str">
        <f aca="false">IF(E60="","",IFERROR(VLOOKUP(E60,상품관리!$A:$K,11,0),""))</f>
        <v/>
      </c>
      <c r="P60" s="28"/>
    </row>
    <row r="61" customFormat="false" ht="15" hidden="false" customHeight="true" outlineLevel="0" collapsed="false">
      <c r="A61" s="21"/>
      <c r="B61" s="21"/>
      <c r="C61" s="21"/>
      <c r="D61" s="24" t="str">
        <f aca="false">IF(C61="","",IFERROR(VLOOKUP(C61,회원관리!$A:$C,3,0),"미등록"))</f>
        <v/>
      </c>
      <c r="E61" s="23"/>
      <c r="F61" s="24" t="str">
        <f aca="false">IF(E61="","",IFERROR(VLOOKUP(E61,상품관리!$A:$C,3,0),"미등록"))</f>
        <v/>
      </c>
      <c r="G61" s="21"/>
      <c r="H61" s="54" t="str">
        <f aca="false">IF(E61="","",IFERROR(VLOOKUP(E61,상품관리!$A:$F,6,0),0))</f>
        <v/>
      </c>
      <c r="I61" s="54" t="str">
        <f aca="false">IF(OR(G61="",H61=""),"",G61*H61)</f>
        <v/>
      </c>
      <c r="J61" s="40"/>
      <c r="K61" s="54" t="str">
        <f aca="false">IF(I61="","",I61+N(J61))</f>
        <v/>
      </c>
      <c r="L61" s="22"/>
      <c r="M61" s="21"/>
      <c r="N61" s="21"/>
      <c r="O61" s="24" t="str">
        <f aca="false">IF(E61="","",IFERROR(VLOOKUP(E61,상품관리!$A:$K,11,0),""))</f>
        <v/>
      </c>
      <c r="P61" s="23"/>
    </row>
    <row r="62" customFormat="false" ht="15" hidden="false" customHeight="true" outlineLevel="0" collapsed="false">
      <c r="A62" s="26"/>
      <c r="B62" s="26"/>
      <c r="C62" s="26"/>
      <c r="D62" s="29" t="str">
        <f aca="false">IF(C62="","",IFERROR(VLOOKUP(C62,회원관리!$A:$C,3,0),"미등록"))</f>
        <v/>
      </c>
      <c r="E62" s="28"/>
      <c r="F62" s="29" t="str">
        <f aca="false">IF(E62="","",IFERROR(VLOOKUP(E62,상품관리!$A:$C,3,0),"미등록"))</f>
        <v/>
      </c>
      <c r="G62" s="26"/>
      <c r="H62" s="55" t="str">
        <f aca="false">IF(E62="","",IFERROR(VLOOKUP(E62,상품관리!$A:$F,6,0),0))</f>
        <v/>
      </c>
      <c r="I62" s="55" t="str">
        <f aca="false">IF(OR(G62="",H62=""),"",G62*H62)</f>
        <v/>
      </c>
      <c r="J62" s="43"/>
      <c r="K62" s="55" t="str">
        <f aca="false">IF(I62="","",I62+N(J62))</f>
        <v/>
      </c>
      <c r="L62" s="27"/>
      <c r="M62" s="26"/>
      <c r="N62" s="26"/>
      <c r="O62" s="29" t="str">
        <f aca="false">IF(E62="","",IFERROR(VLOOKUP(E62,상품관리!$A:$K,11,0),""))</f>
        <v/>
      </c>
      <c r="P62" s="28"/>
    </row>
    <row r="63" customFormat="false" ht="15" hidden="false" customHeight="true" outlineLevel="0" collapsed="false">
      <c r="A63" s="21"/>
      <c r="B63" s="21"/>
      <c r="C63" s="21"/>
      <c r="D63" s="24" t="str">
        <f aca="false">IF(C63="","",IFERROR(VLOOKUP(C63,회원관리!$A:$C,3,0),"미등록"))</f>
        <v/>
      </c>
      <c r="E63" s="23"/>
      <c r="F63" s="24" t="str">
        <f aca="false">IF(E63="","",IFERROR(VLOOKUP(E63,상품관리!$A:$C,3,0),"미등록"))</f>
        <v/>
      </c>
      <c r="G63" s="21"/>
      <c r="H63" s="54" t="str">
        <f aca="false">IF(E63="","",IFERROR(VLOOKUP(E63,상품관리!$A:$F,6,0),0))</f>
        <v/>
      </c>
      <c r="I63" s="54" t="str">
        <f aca="false">IF(OR(G63="",H63=""),"",G63*H63)</f>
        <v/>
      </c>
      <c r="J63" s="40"/>
      <c r="K63" s="54" t="str">
        <f aca="false">IF(I63="","",I63+N(J63))</f>
        <v/>
      </c>
      <c r="L63" s="22"/>
      <c r="M63" s="21"/>
      <c r="N63" s="21"/>
      <c r="O63" s="24" t="str">
        <f aca="false">IF(E63="","",IFERROR(VLOOKUP(E63,상품관리!$A:$K,11,0),""))</f>
        <v/>
      </c>
      <c r="P63" s="23"/>
    </row>
    <row r="64" customFormat="false" ht="15" hidden="false" customHeight="true" outlineLevel="0" collapsed="false">
      <c r="A64" s="26"/>
      <c r="B64" s="26"/>
      <c r="C64" s="26"/>
      <c r="D64" s="29" t="str">
        <f aca="false">IF(C64="","",IFERROR(VLOOKUP(C64,회원관리!$A:$C,3,0),"미등록"))</f>
        <v/>
      </c>
      <c r="E64" s="28"/>
      <c r="F64" s="29" t="str">
        <f aca="false">IF(E64="","",IFERROR(VLOOKUP(E64,상품관리!$A:$C,3,0),"미등록"))</f>
        <v/>
      </c>
      <c r="G64" s="26"/>
      <c r="H64" s="55" t="str">
        <f aca="false">IF(E64="","",IFERROR(VLOOKUP(E64,상품관리!$A:$F,6,0),0))</f>
        <v/>
      </c>
      <c r="I64" s="55" t="str">
        <f aca="false">IF(OR(G64="",H64=""),"",G64*H64)</f>
        <v/>
      </c>
      <c r="J64" s="43"/>
      <c r="K64" s="55" t="str">
        <f aca="false">IF(I64="","",I64+N(J64))</f>
        <v/>
      </c>
      <c r="L64" s="27"/>
      <c r="M64" s="26"/>
      <c r="N64" s="26"/>
      <c r="O64" s="29" t="str">
        <f aca="false">IF(E64="","",IFERROR(VLOOKUP(E64,상품관리!$A:$K,11,0),""))</f>
        <v/>
      </c>
      <c r="P64" s="28"/>
    </row>
    <row r="65" customFormat="false" ht="15" hidden="false" customHeight="true" outlineLevel="0" collapsed="false">
      <c r="A65" s="21"/>
      <c r="B65" s="21"/>
      <c r="C65" s="21"/>
      <c r="D65" s="24" t="str">
        <f aca="false">IF(C65="","",IFERROR(VLOOKUP(C65,회원관리!$A:$C,3,0),"미등록"))</f>
        <v/>
      </c>
      <c r="E65" s="23"/>
      <c r="F65" s="24" t="str">
        <f aca="false">IF(E65="","",IFERROR(VLOOKUP(E65,상품관리!$A:$C,3,0),"미등록"))</f>
        <v/>
      </c>
      <c r="G65" s="21"/>
      <c r="H65" s="54" t="str">
        <f aca="false">IF(E65="","",IFERROR(VLOOKUP(E65,상품관리!$A:$F,6,0),0))</f>
        <v/>
      </c>
      <c r="I65" s="54" t="str">
        <f aca="false">IF(OR(G65="",H65=""),"",G65*H65)</f>
        <v/>
      </c>
      <c r="J65" s="40"/>
      <c r="K65" s="54" t="str">
        <f aca="false">IF(I65="","",I65+N(J65))</f>
        <v/>
      </c>
      <c r="L65" s="22"/>
      <c r="M65" s="21"/>
      <c r="N65" s="21"/>
      <c r="O65" s="24" t="str">
        <f aca="false">IF(E65="","",IFERROR(VLOOKUP(E65,상품관리!$A:$K,11,0),""))</f>
        <v/>
      </c>
      <c r="P65" s="23"/>
    </row>
    <row r="66" customFormat="false" ht="15" hidden="false" customHeight="true" outlineLevel="0" collapsed="false">
      <c r="A66" s="26"/>
      <c r="B66" s="26"/>
      <c r="C66" s="26"/>
      <c r="D66" s="29" t="str">
        <f aca="false">IF(C66="","",IFERROR(VLOOKUP(C66,회원관리!$A:$C,3,0),"미등록"))</f>
        <v/>
      </c>
      <c r="E66" s="28"/>
      <c r="F66" s="29" t="str">
        <f aca="false">IF(E66="","",IFERROR(VLOOKUP(E66,상품관리!$A:$C,3,0),"미등록"))</f>
        <v/>
      </c>
      <c r="G66" s="26"/>
      <c r="H66" s="55" t="str">
        <f aca="false">IF(E66="","",IFERROR(VLOOKUP(E66,상품관리!$A:$F,6,0),0))</f>
        <v/>
      </c>
      <c r="I66" s="55" t="str">
        <f aca="false">IF(OR(G66="",H66=""),"",G66*H66)</f>
        <v/>
      </c>
      <c r="J66" s="43"/>
      <c r="K66" s="55" t="str">
        <f aca="false">IF(I66="","",I66+N(J66))</f>
        <v/>
      </c>
      <c r="L66" s="27"/>
      <c r="M66" s="26"/>
      <c r="N66" s="26"/>
      <c r="O66" s="29" t="str">
        <f aca="false">IF(E66="","",IFERROR(VLOOKUP(E66,상품관리!$A:$K,11,0),""))</f>
        <v/>
      </c>
      <c r="P66" s="28"/>
    </row>
    <row r="67" customFormat="false" ht="15" hidden="false" customHeight="true" outlineLevel="0" collapsed="false">
      <c r="A67" s="21"/>
      <c r="B67" s="21"/>
      <c r="C67" s="21"/>
      <c r="D67" s="24" t="str">
        <f aca="false">IF(C67="","",IFERROR(VLOOKUP(C67,회원관리!$A:$C,3,0),"미등록"))</f>
        <v/>
      </c>
      <c r="E67" s="23"/>
      <c r="F67" s="24" t="str">
        <f aca="false">IF(E67="","",IFERROR(VLOOKUP(E67,상품관리!$A:$C,3,0),"미등록"))</f>
        <v/>
      </c>
      <c r="G67" s="21"/>
      <c r="H67" s="54" t="str">
        <f aca="false">IF(E67="","",IFERROR(VLOOKUP(E67,상품관리!$A:$F,6,0),0))</f>
        <v/>
      </c>
      <c r="I67" s="54" t="str">
        <f aca="false">IF(OR(G67="",H67=""),"",G67*H67)</f>
        <v/>
      </c>
      <c r="J67" s="40"/>
      <c r="K67" s="54" t="str">
        <f aca="false">IF(I67="","",I67+N(J67))</f>
        <v/>
      </c>
      <c r="L67" s="22"/>
      <c r="M67" s="21"/>
      <c r="N67" s="21"/>
      <c r="O67" s="24" t="str">
        <f aca="false">IF(E67="","",IFERROR(VLOOKUP(E67,상품관리!$A:$K,11,0),""))</f>
        <v/>
      </c>
      <c r="P67" s="23"/>
    </row>
    <row r="68" customFormat="false" ht="15" hidden="false" customHeight="true" outlineLevel="0" collapsed="false">
      <c r="A68" s="26"/>
      <c r="B68" s="26"/>
      <c r="C68" s="26"/>
      <c r="D68" s="29" t="str">
        <f aca="false">IF(C68="","",IFERROR(VLOOKUP(C68,회원관리!$A:$C,3,0),"미등록"))</f>
        <v/>
      </c>
      <c r="E68" s="28"/>
      <c r="F68" s="29" t="str">
        <f aca="false">IF(E68="","",IFERROR(VLOOKUP(E68,상품관리!$A:$C,3,0),"미등록"))</f>
        <v/>
      </c>
      <c r="G68" s="26"/>
      <c r="H68" s="55" t="str">
        <f aca="false">IF(E68="","",IFERROR(VLOOKUP(E68,상품관리!$A:$F,6,0),0))</f>
        <v/>
      </c>
      <c r="I68" s="55" t="str">
        <f aca="false">IF(OR(G68="",H68=""),"",G68*H68)</f>
        <v/>
      </c>
      <c r="J68" s="43"/>
      <c r="K68" s="55" t="str">
        <f aca="false">IF(I68="","",I68+N(J68))</f>
        <v/>
      </c>
      <c r="L68" s="27"/>
      <c r="M68" s="26"/>
      <c r="N68" s="26"/>
      <c r="O68" s="29" t="str">
        <f aca="false">IF(E68="","",IFERROR(VLOOKUP(E68,상품관리!$A:$K,11,0),""))</f>
        <v/>
      </c>
      <c r="P68" s="28"/>
    </row>
    <row r="69" customFormat="false" ht="15" hidden="false" customHeight="true" outlineLevel="0" collapsed="false">
      <c r="A69" s="21"/>
      <c r="B69" s="21"/>
      <c r="C69" s="21"/>
      <c r="D69" s="24" t="str">
        <f aca="false">IF(C69="","",IFERROR(VLOOKUP(C69,회원관리!$A:$C,3,0),"미등록"))</f>
        <v/>
      </c>
      <c r="E69" s="23"/>
      <c r="F69" s="24" t="str">
        <f aca="false">IF(E69="","",IFERROR(VLOOKUP(E69,상품관리!$A:$C,3,0),"미등록"))</f>
        <v/>
      </c>
      <c r="G69" s="21"/>
      <c r="H69" s="54" t="str">
        <f aca="false">IF(E69="","",IFERROR(VLOOKUP(E69,상품관리!$A:$F,6,0),0))</f>
        <v/>
      </c>
      <c r="I69" s="54" t="str">
        <f aca="false">IF(OR(G69="",H69=""),"",G69*H69)</f>
        <v/>
      </c>
      <c r="J69" s="40"/>
      <c r="K69" s="54" t="str">
        <f aca="false">IF(I69="","",I69+N(J69))</f>
        <v/>
      </c>
      <c r="L69" s="22"/>
      <c r="M69" s="21"/>
      <c r="N69" s="21"/>
      <c r="O69" s="24" t="str">
        <f aca="false">IF(E69="","",IFERROR(VLOOKUP(E69,상품관리!$A:$K,11,0),""))</f>
        <v/>
      </c>
      <c r="P69" s="23"/>
    </row>
    <row r="70" customFormat="false" ht="15" hidden="false" customHeight="true" outlineLevel="0" collapsed="false">
      <c r="A70" s="26"/>
      <c r="B70" s="26"/>
      <c r="C70" s="26"/>
      <c r="D70" s="29" t="str">
        <f aca="false">IF(C70="","",IFERROR(VLOOKUP(C70,회원관리!$A:$C,3,0),"미등록"))</f>
        <v/>
      </c>
      <c r="E70" s="28"/>
      <c r="F70" s="29" t="str">
        <f aca="false">IF(E70="","",IFERROR(VLOOKUP(E70,상품관리!$A:$C,3,0),"미등록"))</f>
        <v/>
      </c>
      <c r="G70" s="26"/>
      <c r="H70" s="55" t="str">
        <f aca="false">IF(E70="","",IFERROR(VLOOKUP(E70,상품관리!$A:$F,6,0),0))</f>
        <v/>
      </c>
      <c r="I70" s="55" t="str">
        <f aca="false">IF(OR(G70="",H70=""),"",G70*H70)</f>
        <v/>
      </c>
      <c r="J70" s="43"/>
      <c r="K70" s="55" t="str">
        <f aca="false">IF(I70="","",I70+N(J70))</f>
        <v/>
      </c>
      <c r="L70" s="27"/>
      <c r="M70" s="26"/>
      <c r="N70" s="26"/>
      <c r="O70" s="29" t="str">
        <f aca="false">IF(E70="","",IFERROR(VLOOKUP(E70,상품관리!$A:$K,11,0),""))</f>
        <v/>
      </c>
      <c r="P70" s="28"/>
    </row>
    <row r="71" customFormat="false" ht="15" hidden="false" customHeight="true" outlineLevel="0" collapsed="false">
      <c r="A71" s="21"/>
      <c r="B71" s="21"/>
      <c r="C71" s="21"/>
      <c r="D71" s="24" t="str">
        <f aca="false">IF(C71="","",IFERROR(VLOOKUP(C71,회원관리!$A:$C,3,0),"미등록"))</f>
        <v/>
      </c>
      <c r="E71" s="23"/>
      <c r="F71" s="24" t="str">
        <f aca="false">IF(E71="","",IFERROR(VLOOKUP(E71,상품관리!$A:$C,3,0),"미등록"))</f>
        <v/>
      </c>
      <c r="G71" s="21"/>
      <c r="H71" s="54" t="str">
        <f aca="false">IF(E71="","",IFERROR(VLOOKUP(E71,상품관리!$A:$F,6,0),0))</f>
        <v/>
      </c>
      <c r="I71" s="54" t="str">
        <f aca="false">IF(OR(G71="",H71=""),"",G71*H71)</f>
        <v/>
      </c>
      <c r="J71" s="40"/>
      <c r="K71" s="54" t="str">
        <f aca="false">IF(I71="","",I71+N(J71))</f>
        <v/>
      </c>
      <c r="L71" s="22"/>
      <c r="M71" s="21"/>
      <c r="N71" s="21"/>
      <c r="O71" s="24" t="str">
        <f aca="false">IF(E71="","",IFERROR(VLOOKUP(E71,상품관리!$A:$K,11,0),""))</f>
        <v/>
      </c>
      <c r="P71" s="23"/>
    </row>
    <row r="72" customFormat="false" ht="15" hidden="false" customHeight="true" outlineLevel="0" collapsed="false">
      <c r="A72" s="26"/>
      <c r="B72" s="26"/>
      <c r="C72" s="26"/>
      <c r="D72" s="29" t="str">
        <f aca="false">IF(C72="","",IFERROR(VLOOKUP(C72,회원관리!$A:$C,3,0),"미등록"))</f>
        <v/>
      </c>
      <c r="E72" s="28"/>
      <c r="F72" s="29" t="str">
        <f aca="false">IF(E72="","",IFERROR(VLOOKUP(E72,상품관리!$A:$C,3,0),"미등록"))</f>
        <v/>
      </c>
      <c r="G72" s="26"/>
      <c r="H72" s="55" t="str">
        <f aca="false">IF(E72="","",IFERROR(VLOOKUP(E72,상품관리!$A:$F,6,0),0))</f>
        <v/>
      </c>
      <c r="I72" s="55" t="str">
        <f aca="false">IF(OR(G72="",H72=""),"",G72*H72)</f>
        <v/>
      </c>
      <c r="J72" s="43"/>
      <c r="K72" s="55" t="str">
        <f aca="false">IF(I72="","",I72+N(J72))</f>
        <v/>
      </c>
      <c r="L72" s="27"/>
      <c r="M72" s="26"/>
      <c r="N72" s="26"/>
      <c r="O72" s="29" t="str">
        <f aca="false">IF(E72="","",IFERROR(VLOOKUP(E72,상품관리!$A:$K,11,0),""))</f>
        <v/>
      </c>
      <c r="P72" s="28"/>
    </row>
    <row r="73" customFormat="false" ht="15" hidden="false" customHeight="true" outlineLevel="0" collapsed="false">
      <c r="A73" s="21"/>
      <c r="B73" s="21"/>
      <c r="C73" s="21"/>
      <c r="D73" s="24" t="str">
        <f aca="false">IF(C73="","",IFERROR(VLOOKUP(C73,회원관리!$A:$C,3,0),"미등록"))</f>
        <v/>
      </c>
      <c r="E73" s="23"/>
      <c r="F73" s="24" t="str">
        <f aca="false">IF(E73="","",IFERROR(VLOOKUP(E73,상품관리!$A:$C,3,0),"미등록"))</f>
        <v/>
      </c>
      <c r="G73" s="21"/>
      <c r="H73" s="54" t="str">
        <f aca="false">IF(E73="","",IFERROR(VLOOKUP(E73,상품관리!$A:$F,6,0),0))</f>
        <v/>
      </c>
      <c r="I73" s="54" t="str">
        <f aca="false">IF(OR(G73="",H73=""),"",G73*H73)</f>
        <v/>
      </c>
      <c r="J73" s="40"/>
      <c r="K73" s="54" t="str">
        <f aca="false">IF(I73="","",I73+N(J73))</f>
        <v/>
      </c>
      <c r="L73" s="22"/>
      <c r="M73" s="21"/>
      <c r="N73" s="21"/>
      <c r="O73" s="24" t="str">
        <f aca="false">IF(E73="","",IFERROR(VLOOKUP(E73,상품관리!$A:$K,11,0),""))</f>
        <v/>
      </c>
      <c r="P73" s="23"/>
    </row>
    <row r="74" customFormat="false" ht="15" hidden="false" customHeight="true" outlineLevel="0" collapsed="false">
      <c r="A74" s="26"/>
      <c r="B74" s="26"/>
      <c r="C74" s="26"/>
      <c r="D74" s="29" t="str">
        <f aca="false">IF(C74="","",IFERROR(VLOOKUP(C74,회원관리!$A:$C,3,0),"미등록"))</f>
        <v/>
      </c>
      <c r="E74" s="28"/>
      <c r="F74" s="29" t="str">
        <f aca="false">IF(E74="","",IFERROR(VLOOKUP(E74,상품관리!$A:$C,3,0),"미등록"))</f>
        <v/>
      </c>
      <c r="G74" s="26"/>
      <c r="H74" s="55" t="str">
        <f aca="false">IF(E74="","",IFERROR(VLOOKUP(E74,상품관리!$A:$F,6,0),0))</f>
        <v/>
      </c>
      <c r="I74" s="55" t="str">
        <f aca="false">IF(OR(G74="",H74=""),"",G74*H74)</f>
        <v/>
      </c>
      <c r="J74" s="43"/>
      <c r="K74" s="55" t="str">
        <f aca="false">IF(I74="","",I74+N(J74))</f>
        <v/>
      </c>
      <c r="L74" s="27"/>
      <c r="M74" s="26"/>
      <c r="N74" s="26"/>
      <c r="O74" s="29" t="str">
        <f aca="false">IF(E74="","",IFERROR(VLOOKUP(E74,상품관리!$A:$K,11,0),""))</f>
        <v/>
      </c>
      <c r="P74" s="28"/>
    </row>
    <row r="75" customFormat="false" ht="15" hidden="false" customHeight="true" outlineLevel="0" collapsed="false">
      <c r="A75" s="21"/>
      <c r="B75" s="21"/>
      <c r="C75" s="21"/>
      <c r="D75" s="24" t="str">
        <f aca="false">IF(C75="","",IFERROR(VLOOKUP(C75,회원관리!$A:$C,3,0),"미등록"))</f>
        <v/>
      </c>
      <c r="E75" s="23"/>
      <c r="F75" s="24" t="str">
        <f aca="false">IF(E75="","",IFERROR(VLOOKUP(E75,상품관리!$A:$C,3,0),"미등록"))</f>
        <v/>
      </c>
      <c r="G75" s="21"/>
      <c r="H75" s="54" t="str">
        <f aca="false">IF(E75="","",IFERROR(VLOOKUP(E75,상품관리!$A:$F,6,0),0))</f>
        <v/>
      </c>
      <c r="I75" s="54" t="str">
        <f aca="false">IF(OR(G75="",H75=""),"",G75*H75)</f>
        <v/>
      </c>
      <c r="J75" s="40"/>
      <c r="K75" s="54" t="str">
        <f aca="false">IF(I75="","",I75+N(J75))</f>
        <v/>
      </c>
      <c r="L75" s="22"/>
      <c r="M75" s="21"/>
      <c r="N75" s="21"/>
      <c r="O75" s="24" t="str">
        <f aca="false">IF(E75="","",IFERROR(VLOOKUP(E75,상품관리!$A:$K,11,0),""))</f>
        <v/>
      </c>
      <c r="P75" s="23"/>
    </row>
    <row r="76" customFormat="false" ht="15" hidden="false" customHeight="true" outlineLevel="0" collapsed="false">
      <c r="A76" s="26"/>
      <c r="B76" s="26"/>
      <c r="C76" s="26"/>
      <c r="D76" s="29" t="str">
        <f aca="false">IF(C76="","",IFERROR(VLOOKUP(C76,회원관리!$A:$C,3,0),"미등록"))</f>
        <v/>
      </c>
      <c r="E76" s="28"/>
      <c r="F76" s="29" t="str">
        <f aca="false">IF(E76="","",IFERROR(VLOOKUP(E76,상품관리!$A:$C,3,0),"미등록"))</f>
        <v/>
      </c>
      <c r="G76" s="26"/>
      <c r="H76" s="55" t="str">
        <f aca="false">IF(E76="","",IFERROR(VLOOKUP(E76,상품관리!$A:$F,6,0),0))</f>
        <v/>
      </c>
      <c r="I76" s="55" t="str">
        <f aca="false">IF(OR(G76="",H76=""),"",G76*H76)</f>
        <v/>
      </c>
      <c r="J76" s="43"/>
      <c r="K76" s="55" t="str">
        <f aca="false">IF(I76="","",I76+N(J76))</f>
        <v/>
      </c>
      <c r="L76" s="27"/>
      <c r="M76" s="26"/>
      <c r="N76" s="26"/>
      <c r="O76" s="29" t="str">
        <f aca="false">IF(E76="","",IFERROR(VLOOKUP(E76,상품관리!$A:$K,11,0),""))</f>
        <v/>
      </c>
      <c r="P76" s="28"/>
    </row>
    <row r="77" customFormat="false" ht="15" hidden="false" customHeight="true" outlineLevel="0" collapsed="false">
      <c r="A77" s="21"/>
      <c r="B77" s="21"/>
      <c r="C77" s="21"/>
      <c r="D77" s="24" t="str">
        <f aca="false">IF(C77="","",IFERROR(VLOOKUP(C77,회원관리!$A:$C,3,0),"미등록"))</f>
        <v/>
      </c>
      <c r="E77" s="23"/>
      <c r="F77" s="24" t="str">
        <f aca="false">IF(E77="","",IFERROR(VLOOKUP(E77,상품관리!$A:$C,3,0),"미등록"))</f>
        <v/>
      </c>
      <c r="G77" s="21"/>
      <c r="H77" s="54" t="str">
        <f aca="false">IF(E77="","",IFERROR(VLOOKUP(E77,상품관리!$A:$F,6,0),0))</f>
        <v/>
      </c>
      <c r="I77" s="54" t="str">
        <f aca="false">IF(OR(G77="",H77=""),"",G77*H77)</f>
        <v/>
      </c>
      <c r="J77" s="40"/>
      <c r="K77" s="54" t="str">
        <f aca="false">IF(I77="","",I77+N(J77))</f>
        <v/>
      </c>
      <c r="L77" s="22"/>
      <c r="M77" s="21"/>
      <c r="N77" s="21"/>
      <c r="O77" s="24" t="str">
        <f aca="false">IF(E77="","",IFERROR(VLOOKUP(E77,상품관리!$A:$K,11,0),""))</f>
        <v/>
      </c>
      <c r="P77" s="23"/>
    </row>
    <row r="78" customFormat="false" ht="15" hidden="false" customHeight="true" outlineLevel="0" collapsed="false">
      <c r="A78" s="26"/>
      <c r="B78" s="26"/>
      <c r="C78" s="26"/>
      <c r="D78" s="29" t="str">
        <f aca="false">IF(C78="","",IFERROR(VLOOKUP(C78,회원관리!$A:$C,3,0),"미등록"))</f>
        <v/>
      </c>
      <c r="E78" s="28"/>
      <c r="F78" s="29" t="str">
        <f aca="false">IF(E78="","",IFERROR(VLOOKUP(E78,상품관리!$A:$C,3,0),"미등록"))</f>
        <v/>
      </c>
      <c r="G78" s="26"/>
      <c r="H78" s="55" t="str">
        <f aca="false">IF(E78="","",IFERROR(VLOOKUP(E78,상품관리!$A:$F,6,0),0))</f>
        <v/>
      </c>
      <c r="I78" s="55" t="str">
        <f aca="false">IF(OR(G78="",H78=""),"",G78*H78)</f>
        <v/>
      </c>
      <c r="J78" s="43"/>
      <c r="K78" s="55" t="str">
        <f aca="false">IF(I78="","",I78+N(J78))</f>
        <v/>
      </c>
      <c r="L78" s="27"/>
      <c r="M78" s="26"/>
      <c r="N78" s="26"/>
      <c r="O78" s="29" t="str">
        <f aca="false">IF(E78="","",IFERROR(VLOOKUP(E78,상품관리!$A:$K,11,0),""))</f>
        <v/>
      </c>
      <c r="P78" s="28"/>
    </row>
    <row r="79" customFormat="false" ht="15" hidden="false" customHeight="true" outlineLevel="0" collapsed="false">
      <c r="A79" s="21"/>
      <c r="B79" s="21"/>
      <c r="C79" s="21"/>
      <c r="D79" s="24" t="str">
        <f aca="false">IF(C79="","",IFERROR(VLOOKUP(C79,회원관리!$A:$C,3,0),"미등록"))</f>
        <v/>
      </c>
      <c r="E79" s="23"/>
      <c r="F79" s="24" t="str">
        <f aca="false">IF(E79="","",IFERROR(VLOOKUP(E79,상품관리!$A:$C,3,0),"미등록"))</f>
        <v/>
      </c>
      <c r="G79" s="21"/>
      <c r="H79" s="54" t="str">
        <f aca="false">IF(E79="","",IFERROR(VLOOKUP(E79,상품관리!$A:$F,6,0),0))</f>
        <v/>
      </c>
      <c r="I79" s="54" t="str">
        <f aca="false">IF(OR(G79="",H79=""),"",G79*H79)</f>
        <v/>
      </c>
      <c r="J79" s="40"/>
      <c r="K79" s="54" t="str">
        <f aca="false">IF(I79="","",I79+N(J79))</f>
        <v/>
      </c>
      <c r="L79" s="22"/>
      <c r="M79" s="21"/>
      <c r="N79" s="21"/>
      <c r="O79" s="24" t="str">
        <f aca="false">IF(E79="","",IFERROR(VLOOKUP(E79,상품관리!$A:$K,11,0),""))</f>
        <v/>
      </c>
      <c r="P79" s="23"/>
    </row>
    <row r="80" customFormat="false" ht="15" hidden="false" customHeight="true" outlineLevel="0" collapsed="false">
      <c r="A80" s="26"/>
      <c r="B80" s="26"/>
      <c r="C80" s="26"/>
      <c r="D80" s="29" t="str">
        <f aca="false">IF(C80="","",IFERROR(VLOOKUP(C80,회원관리!$A:$C,3,0),"미등록"))</f>
        <v/>
      </c>
      <c r="E80" s="28"/>
      <c r="F80" s="29" t="str">
        <f aca="false">IF(E80="","",IFERROR(VLOOKUP(E80,상품관리!$A:$C,3,0),"미등록"))</f>
        <v/>
      </c>
      <c r="G80" s="26"/>
      <c r="H80" s="55" t="str">
        <f aca="false">IF(E80="","",IFERROR(VLOOKUP(E80,상품관리!$A:$F,6,0),0))</f>
        <v/>
      </c>
      <c r="I80" s="55" t="str">
        <f aca="false">IF(OR(G80="",H80=""),"",G80*H80)</f>
        <v/>
      </c>
      <c r="J80" s="43"/>
      <c r="K80" s="55" t="str">
        <f aca="false">IF(I80="","",I80+N(J80))</f>
        <v/>
      </c>
      <c r="L80" s="27"/>
      <c r="M80" s="26"/>
      <c r="N80" s="26"/>
      <c r="O80" s="29" t="str">
        <f aca="false">IF(E80="","",IFERROR(VLOOKUP(E80,상품관리!$A:$K,11,0),""))</f>
        <v/>
      </c>
      <c r="P80" s="28"/>
    </row>
    <row r="81" customFormat="false" ht="15" hidden="false" customHeight="true" outlineLevel="0" collapsed="false">
      <c r="A81" s="21"/>
      <c r="B81" s="21"/>
      <c r="C81" s="21"/>
      <c r="D81" s="24" t="str">
        <f aca="false">IF(C81="","",IFERROR(VLOOKUP(C81,회원관리!$A:$C,3,0),"미등록"))</f>
        <v/>
      </c>
      <c r="E81" s="23"/>
      <c r="F81" s="24" t="str">
        <f aca="false">IF(E81="","",IFERROR(VLOOKUP(E81,상품관리!$A:$C,3,0),"미등록"))</f>
        <v/>
      </c>
      <c r="G81" s="21"/>
      <c r="H81" s="54" t="str">
        <f aca="false">IF(E81="","",IFERROR(VLOOKUP(E81,상품관리!$A:$F,6,0),0))</f>
        <v/>
      </c>
      <c r="I81" s="54" t="str">
        <f aca="false">IF(OR(G81="",H81=""),"",G81*H81)</f>
        <v/>
      </c>
      <c r="J81" s="40"/>
      <c r="K81" s="54" t="str">
        <f aca="false">IF(I81="","",I81+N(J81))</f>
        <v/>
      </c>
      <c r="L81" s="22"/>
      <c r="M81" s="21"/>
      <c r="N81" s="21"/>
      <c r="O81" s="24" t="str">
        <f aca="false">IF(E81="","",IFERROR(VLOOKUP(E81,상품관리!$A:$K,11,0),""))</f>
        <v/>
      </c>
      <c r="P81" s="23"/>
    </row>
    <row r="82" customFormat="false" ht="15" hidden="false" customHeight="true" outlineLevel="0" collapsed="false">
      <c r="A82" s="26"/>
      <c r="B82" s="26"/>
      <c r="C82" s="26"/>
      <c r="D82" s="29" t="str">
        <f aca="false">IF(C82="","",IFERROR(VLOOKUP(C82,회원관리!$A:$C,3,0),"미등록"))</f>
        <v/>
      </c>
      <c r="E82" s="28"/>
      <c r="F82" s="29" t="str">
        <f aca="false">IF(E82="","",IFERROR(VLOOKUP(E82,상품관리!$A:$C,3,0),"미등록"))</f>
        <v/>
      </c>
      <c r="G82" s="26"/>
      <c r="H82" s="55" t="str">
        <f aca="false">IF(E82="","",IFERROR(VLOOKUP(E82,상품관리!$A:$F,6,0),0))</f>
        <v/>
      </c>
      <c r="I82" s="55" t="str">
        <f aca="false">IF(OR(G82="",H82=""),"",G82*H82)</f>
        <v/>
      </c>
      <c r="J82" s="43"/>
      <c r="K82" s="55" t="str">
        <f aca="false">IF(I82="","",I82+N(J82))</f>
        <v/>
      </c>
      <c r="L82" s="27"/>
      <c r="M82" s="26"/>
      <c r="N82" s="26"/>
      <c r="O82" s="29" t="str">
        <f aca="false">IF(E82="","",IFERROR(VLOOKUP(E82,상품관리!$A:$K,11,0),""))</f>
        <v/>
      </c>
      <c r="P82" s="28"/>
    </row>
    <row r="83" customFormat="false" ht="15" hidden="false" customHeight="true" outlineLevel="0" collapsed="false">
      <c r="A83" s="21"/>
      <c r="B83" s="21"/>
      <c r="C83" s="21"/>
      <c r="D83" s="24" t="str">
        <f aca="false">IF(C83="","",IFERROR(VLOOKUP(C83,회원관리!$A:$C,3,0),"미등록"))</f>
        <v/>
      </c>
      <c r="E83" s="23"/>
      <c r="F83" s="24" t="str">
        <f aca="false">IF(E83="","",IFERROR(VLOOKUP(E83,상품관리!$A:$C,3,0),"미등록"))</f>
        <v/>
      </c>
      <c r="G83" s="21"/>
      <c r="H83" s="54" t="str">
        <f aca="false">IF(E83="","",IFERROR(VLOOKUP(E83,상품관리!$A:$F,6,0),0))</f>
        <v/>
      </c>
      <c r="I83" s="54" t="str">
        <f aca="false">IF(OR(G83="",H83=""),"",G83*H83)</f>
        <v/>
      </c>
      <c r="J83" s="40"/>
      <c r="K83" s="54" t="str">
        <f aca="false">IF(I83="","",I83+N(J83))</f>
        <v/>
      </c>
      <c r="L83" s="22"/>
      <c r="M83" s="21"/>
      <c r="N83" s="21"/>
      <c r="O83" s="24" t="str">
        <f aca="false">IF(E83="","",IFERROR(VLOOKUP(E83,상품관리!$A:$K,11,0),""))</f>
        <v/>
      </c>
      <c r="P83" s="23"/>
    </row>
    <row r="84" customFormat="false" ht="15" hidden="false" customHeight="true" outlineLevel="0" collapsed="false">
      <c r="A84" s="26"/>
      <c r="B84" s="26"/>
      <c r="C84" s="26"/>
      <c r="D84" s="29" t="str">
        <f aca="false">IF(C84="","",IFERROR(VLOOKUP(C84,회원관리!$A:$C,3,0),"미등록"))</f>
        <v/>
      </c>
      <c r="E84" s="28"/>
      <c r="F84" s="29" t="str">
        <f aca="false">IF(E84="","",IFERROR(VLOOKUP(E84,상품관리!$A:$C,3,0),"미등록"))</f>
        <v/>
      </c>
      <c r="G84" s="26"/>
      <c r="H84" s="55" t="str">
        <f aca="false">IF(E84="","",IFERROR(VLOOKUP(E84,상품관리!$A:$F,6,0),0))</f>
        <v/>
      </c>
      <c r="I84" s="55" t="str">
        <f aca="false">IF(OR(G84="",H84=""),"",G84*H84)</f>
        <v/>
      </c>
      <c r="J84" s="43"/>
      <c r="K84" s="55" t="str">
        <f aca="false">IF(I84="","",I84+N(J84))</f>
        <v/>
      </c>
      <c r="L84" s="27"/>
      <c r="M84" s="26"/>
      <c r="N84" s="26"/>
      <c r="O84" s="29" t="str">
        <f aca="false">IF(E84="","",IFERROR(VLOOKUP(E84,상품관리!$A:$K,11,0),""))</f>
        <v/>
      </c>
      <c r="P84" s="28"/>
    </row>
  </sheetData>
  <mergeCells count="2">
    <mergeCell ref="A1:P1"/>
    <mergeCell ref="A2:P2"/>
  </mergeCells>
  <dataValidations count="2">
    <dataValidation allowBlank="true" errorStyle="stop" operator="between" showDropDown="false" showErrorMessage="false" showInputMessage="false" sqref="L5:L84" type="list">
      <formula1>"카드,계좌이체,간편결제,무통장,가상계좌"</formula1>
      <formula2>0</formula2>
    </dataValidation>
    <dataValidation allowBlank="true" errorStyle="stop" operator="between" showDropDown="false" showErrorMessage="false" showInputMessage="false" sqref="M5:M84" type="list">
      <formula1>"결제완료,상품준비중,배송중,배송완료,취소,환불"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1"/>
    <col collapsed="false" customWidth="true" hidden="false" outlineLevel="0" max="3" min="3" style="1" width="20"/>
    <col collapsed="false" customWidth="true" hidden="false" outlineLevel="0" max="4" min="4" style="1" width="7"/>
    <col collapsed="false" customWidth="true" hidden="false" outlineLevel="0" max="5" min="5" style="1" width="12"/>
    <col collapsed="false" customWidth="true" hidden="false" outlineLevel="0" max="6" min="6" style="1" width="16"/>
    <col collapsed="false" customWidth="true" hidden="false" outlineLevel="0" max="8" min="7" style="1" width="12"/>
    <col collapsed="false" customWidth="true" hidden="false" outlineLevel="0" max="9" min="9" style="1" width="11"/>
    <col collapsed="false" customWidth="true" hidden="false" outlineLevel="0" max="10" min="10" style="1" width="9"/>
    <col collapsed="false" customWidth="true" hidden="false" outlineLevel="0" max="11" min="11" style="1" width="16"/>
    <col collapsed="false" customWidth="true" hidden="false" outlineLevel="0" max="12" min="12" style="1" width="12"/>
  </cols>
  <sheetData>
    <row r="1" customFormat="false" ht="24" hidden="false" customHeight="true" outlineLevel="0" collapsed="false">
      <c r="A1" s="56" t="s">
        <v>211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customFormat="false" ht="15.75" hidden="false" customHeight="true" outlineLevel="0" collapsed="false">
      <c r="A2" s="19" t="s">
        <v>212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4" customFormat="false" ht="15" hidden="false" customHeight="true" outlineLevel="0" collapsed="false">
      <c r="A4" s="57" t="s">
        <v>190</v>
      </c>
      <c r="B4" s="57" t="s">
        <v>192</v>
      </c>
      <c r="C4" s="57" t="s">
        <v>119</v>
      </c>
      <c r="D4" s="57" t="s">
        <v>193</v>
      </c>
      <c r="E4" s="57" t="s">
        <v>213</v>
      </c>
      <c r="F4" s="57" t="s">
        <v>200</v>
      </c>
      <c r="G4" s="57" t="s">
        <v>214</v>
      </c>
      <c r="H4" s="57" t="s">
        <v>215</v>
      </c>
      <c r="I4" s="57" t="s">
        <v>199</v>
      </c>
      <c r="J4" s="57" t="s">
        <v>196</v>
      </c>
      <c r="K4" s="57" t="s">
        <v>216</v>
      </c>
      <c r="L4" s="57" t="s">
        <v>217</v>
      </c>
    </row>
    <row r="5" customFormat="false" ht="15" hidden="false" customHeight="true" outlineLevel="0" collapsed="false">
      <c r="A5" s="21" t="s">
        <v>202</v>
      </c>
      <c r="B5" s="24" t="str">
        <f aca="false">IF(A5="","",IFERROR(VLOOKUP(A5,주문관리!$A:$D,4,0),"미확인"))</f>
        <v>김민수</v>
      </c>
      <c r="C5" s="58" t="str">
        <f aca="false">IF(A5="","",IFERROR(VLOOKUP(A5,주문관리!$A:$F,6,0),""))</f>
        <v>베이직 코튼 티셔츠</v>
      </c>
      <c r="D5" s="24" t="n">
        <f aca="false">IF(A5="","",IFERROR(VLOOKUP(A5,주문관리!$A:$G,7,0),""))</f>
        <v>2</v>
      </c>
      <c r="E5" s="21" t="s">
        <v>218</v>
      </c>
      <c r="F5" s="21" t="s">
        <v>219</v>
      </c>
      <c r="G5" s="21" t="s">
        <v>220</v>
      </c>
      <c r="H5" s="21" t="s">
        <v>221</v>
      </c>
      <c r="I5" s="22" t="s">
        <v>222</v>
      </c>
      <c r="J5" s="40" t="n">
        <v>3000</v>
      </c>
      <c r="K5" s="25" t="s">
        <v>223</v>
      </c>
      <c r="L5" s="23"/>
    </row>
    <row r="6" customFormat="false" ht="15" hidden="false" customHeight="true" outlineLevel="0" collapsed="false">
      <c r="A6" s="59" t="s">
        <v>204</v>
      </c>
      <c r="B6" s="60" t="str">
        <f aca="false">IF(A6="","",IFERROR(VLOOKUP(A6,주문관리!$A:$D,4,0),"미확인"))</f>
        <v>이서연</v>
      </c>
      <c r="C6" s="61" t="str">
        <f aca="false">IF(A6="","",IFERROR(VLOOKUP(A6,주문관리!$A:$F,6,0),""))</f>
        <v>오버핏 후드집업</v>
      </c>
      <c r="D6" s="60" t="n">
        <f aca="false">IF(A6="","",IFERROR(VLOOKUP(A6,주문관리!$A:$G,7,0),""))</f>
        <v>1</v>
      </c>
      <c r="E6" s="62" t="s">
        <v>224</v>
      </c>
      <c r="F6" s="59" t="s">
        <v>225</v>
      </c>
      <c r="G6" s="59" t="s">
        <v>226</v>
      </c>
      <c r="H6" s="59" t="s">
        <v>227</v>
      </c>
      <c r="I6" s="62" t="s">
        <v>11</v>
      </c>
      <c r="J6" s="63" t="n">
        <v>3000</v>
      </c>
      <c r="K6" s="64"/>
      <c r="L6" s="64"/>
    </row>
    <row r="7" customFormat="false" ht="15" hidden="false" customHeight="true" outlineLevel="0" collapsed="false">
      <c r="A7" s="21" t="s">
        <v>205</v>
      </c>
      <c r="B7" s="24" t="str">
        <f aca="false">IF(A7="","",IFERROR(VLOOKUP(A7,주문관리!$A:$D,4,0),"미확인"))</f>
        <v>박지훈</v>
      </c>
      <c r="C7" s="58" t="str">
        <f aca="false">IF(A7="","",IFERROR(VLOOKUP(A7,주문관리!$A:$F,6,0),""))</f>
        <v>캔버스 에코백</v>
      </c>
      <c r="D7" s="24" t="n">
        <f aca="false">IF(A7="","",IFERROR(VLOOKUP(A7,주문관리!$A:$G,7,0),""))</f>
        <v>3</v>
      </c>
      <c r="E7" s="22" t="s">
        <v>228</v>
      </c>
      <c r="F7" s="21" t="s">
        <v>229</v>
      </c>
      <c r="G7" s="21" t="s">
        <v>230</v>
      </c>
      <c r="H7" s="21" t="s">
        <v>231</v>
      </c>
      <c r="I7" s="22" t="s">
        <v>232</v>
      </c>
      <c r="J7" s="40" t="n">
        <v>3000</v>
      </c>
      <c r="K7" s="25" t="s">
        <v>233</v>
      </c>
      <c r="L7" s="23"/>
    </row>
    <row r="8" customFormat="false" ht="15" hidden="false" customHeight="true" outlineLevel="0" collapsed="false">
      <c r="A8" s="59" t="s">
        <v>207</v>
      </c>
      <c r="B8" s="60" t="str">
        <f aca="false">IF(A8="","",IFERROR(VLOOKUP(A8,주문관리!$A:$D,4,0),"미확인"))</f>
        <v>김민수</v>
      </c>
      <c r="C8" s="61" t="str">
        <f aca="false">IF(A8="","",IFERROR(VLOOKUP(A8,주문관리!$A:$F,6,0),""))</f>
        <v>무선 블루투스 이어폰</v>
      </c>
      <c r="D8" s="60" t="n">
        <f aca="false">IF(A8="","",IFERROR(VLOOKUP(A8,주문관리!$A:$G,7,0),""))</f>
        <v>1</v>
      </c>
      <c r="E8" s="62" t="s">
        <v>234</v>
      </c>
      <c r="F8" s="59"/>
      <c r="G8" s="59"/>
      <c r="H8" s="59"/>
      <c r="I8" s="62" t="s">
        <v>235</v>
      </c>
      <c r="J8" s="63" t="n">
        <v>0</v>
      </c>
      <c r="K8" s="64"/>
      <c r="L8" s="64"/>
    </row>
    <row r="9" customFormat="false" ht="15" hidden="false" customHeight="true" outlineLevel="0" collapsed="false">
      <c r="A9" s="21"/>
      <c r="B9" s="24" t="str">
        <f aca="false">IF(A9="","",IFERROR(VLOOKUP(A9,주문관리!$A:$D,4,0),"미확인"))</f>
        <v/>
      </c>
      <c r="C9" s="58" t="str">
        <f aca="false">IF(A9="","",IFERROR(VLOOKUP(A9,주문관리!$A:$F,6,0),""))</f>
        <v/>
      </c>
      <c r="D9" s="24" t="str">
        <f aca="false">IF(A9="","",IFERROR(VLOOKUP(A9,주문관리!$A:$G,7,0),""))</f>
        <v/>
      </c>
      <c r="E9" s="21"/>
      <c r="F9" s="21"/>
      <c r="G9" s="21"/>
      <c r="H9" s="21"/>
      <c r="I9" s="22"/>
      <c r="J9" s="40"/>
      <c r="K9" s="23"/>
      <c r="L9" s="23"/>
    </row>
    <row r="10" customFormat="false" ht="15" hidden="false" customHeight="true" outlineLevel="0" collapsed="false">
      <c r="A10" s="59"/>
      <c r="B10" s="60" t="str">
        <f aca="false">IF(A10="","",IFERROR(VLOOKUP(A10,주문관리!$A:$D,4,0),"미확인"))</f>
        <v/>
      </c>
      <c r="C10" s="61" t="str">
        <f aca="false">IF(A10="","",IFERROR(VLOOKUP(A10,주문관리!$A:$F,6,0),""))</f>
        <v/>
      </c>
      <c r="D10" s="60" t="str">
        <f aca="false">IF(A10="","",IFERROR(VLOOKUP(A10,주문관리!$A:$G,7,0),""))</f>
        <v/>
      </c>
      <c r="E10" s="62"/>
      <c r="F10" s="59"/>
      <c r="G10" s="59"/>
      <c r="H10" s="59"/>
      <c r="I10" s="62"/>
      <c r="J10" s="63"/>
      <c r="K10" s="64"/>
      <c r="L10" s="64"/>
    </row>
    <row r="11" customFormat="false" ht="15" hidden="false" customHeight="true" outlineLevel="0" collapsed="false">
      <c r="A11" s="21"/>
      <c r="B11" s="24" t="str">
        <f aca="false">IF(A11="","",IFERROR(VLOOKUP(A11,주문관리!$A:$D,4,0),"미확인"))</f>
        <v/>
      </c>
      <c r="C11" s="58" t="str">
        <f aca="false">IF(A11="","",IFERROR(VLOOKUP(A11,주문관리!$A:$F,6,0),""))</f>
        <v/>
      </c>
      <c r="D11" s="24" t="str">
        <f aca="false">IF(A11="","",IFERROR(VLOOKUP(A11,주문관리!$A:$G,7,0),""))</f>
        <v/>
      </c>
      <c r="E11" s="21"/>
      <c r="F11" s="21"/>
      <c r="G11" s="21"/>
      <c r="H11" s="21"/>
      <c r="I11" s="22"/>
      <c r="J11" s="40"/>
      <c r="K11" s="23"/>
      <c r="L11" s="23"/>
    </row>
    <row r="12" customFormat="false" ht="15" hidden="false" customHeight="true" outlineLevel="0" collapsed="false">
      <c r="A12" s="59"/>
      <c r="B12" s="60" t="str">
        <f aca="false">IF(A12="","",IFERROR(VLOOKUP(A12,주문관리!$A:$D,4,0),"미확인"))</f>
        <v/>
      </c>
      <c r="C12" s="61" t="str">
        <f aca="false">IF(A12="","",IFERROR(VLOOKUP(A12,주문관리!$A:$F,6,0),""))</f>
        <v/>
      </c>
      <c r="D12" s="60" t="str">
        <f aca="false">IF(A12="","",IFERROR(VLOOKUP(A12,주문관리!$A:$G,7,0),""))</f>
        <v/>
      </c>
      <c r="E12" s="62"/>
      <c r="F12" s="59"/>
      <c r="G12" s="59"/>
      <c r="H12" s="59"/>
      <c r="I12" s="62"/>
      <c r="J12" s="63"/>
      <c r="K12" s="64"/>
      <c r="L12" s="64"/>
    </row>
    <row r="13" customFormat="false" ht="15" hidden="false" customHeight="true" outlineLevel="0" collapsed="false">
      <c r="A13" s="21"/>
      <c r="B13" s="24" t="str">
        <f aca="false">IF(A13="","",IFERROR(VLOOKUP(A13,주문관리!$A:$D,4,0),"미확인"))</f>
        <v/>
      </c>
      <c r="C13" s="58" t="str">
        <f aca="false">IF(A13="","",IFERROR(VLOOKUP(A13,주문관리!$A:$F,6,0),""))</f>
        <v/>
      </c>
      <c r="D13" s="24" t="str">
        <f aca="false">IF(A13="","",IFERROR(VLOOKUP(A13,주문관리!$A:$G,7,0),""))</f>
        <v/>
      </c>
      <c r="E13" s="21"/>
      <c r="F13" s="21"/>
      <c r="G13" s="21"/>
      <c r="H13" s="21"/>
      <c r="I13" s="22"/>
      <c r="J13" s="40"/>
      <c r="K13" s="23"/>
      <c r="L13" s="23"/>
    </row>
    <row r="14" customFormat="false" ht="15" hidden="false" customHeight="true" outlineLevel="0" collapsed="false">
      <c r="A14" s="59"/>
      <c r="B14" s="60" t="str">
        <f aca="false">IF(A14="","",IFERROR(VLOOKUP(A14,주문관리!$A:$D,4,0),"미확인"))</f>
        <v/>
      </c>
      <c r="C14" s="61" t="str">
        <f aca="false">IF(A14="","",IFERROR(VLOOKUP(A14,주문관리!$A:$F,6,0),""))</f>
        <v/>
      </c>
      <c r="D14" s="60" t="str">
        <f aca="false">IF(A14="","",IFERROR(VLOOKUP(A14,주문관리!$A:$G,7,0),""))</f>
        <v/>
      </c>
      <c r="E14" s="62"/>
      <c r="F14" s="59"/>
      <c r="G14" s="59"/>
      <c r="H14" s="59"/>
      <c r="I14" s="62"/>
      <c r="J14" s="63"/>
      <c r="K14" s="64"/>
      <c r="L14" s="64"/>
    </row>
    <row r="15" customFormat="false" ht="15" hidden="false" customHeight="true" outlineLevel="0" collapsed="false">
      <c r="A15" s="21"/>
      <c r="B15" s="24" t="str">
        <f aca="false">IF(A15="","",IFERROR(VLOOKUP(A15,주문관리!$A:$D,4,0),"미확인"))</f>
        <v/>
      </c>
      <c r="C15" s="58" t="str">
        <f aca="false">IF(A15="","",IFERROR(VLOOKUP(A15,주문관리!$A:$F,6,0),""))</f>
        <v/>
      </c>
      <c r="D15" s="24" t="str">
        <f aca="false">IF(A15="","",IFERROR(VLOOKUP(A15,주문관리!$A:$G,7,0),""))</f>
        <v/>
      </c>
      <c r="E15" s="21"/>
      <c r="F15" s="21"/>
      <c r="G15" s="21"/>
      <c r="H15" s="21"/>
      <c r="I15" s="22"/>
      <c r="J15" s="40"/>
      <c r="K15" s="23"/>
      <c r="L15" s="23"/>
    </row>
    <row r="16" customFormat="false" ht="15" hidden="false" customHeight="true" outlineLevel="0" collapsed="false">
      <c r="A16" s="59"/>
      <c r="B16" s="60" t="str">
        <f aca="false">IF(A16="","",IFERROR(VLOOKUP(A16,주문관리!$A:$D,4,0),"미확인"))</f>
        <v/>
      </c>
      <c r="C16" s="61" t="str">
        <f aca="false">IF(A16="","",IFERROR(VLOOKUP(A16,주문관리!$A:$F,6,0),""))</f>
        <v/>
      </c>
      <c r="D16" s="60" t="str">
        <f aca="false">IF(A16="","",IFERROR(VLOOKUP(A16,주문관리!$A:$G,7,0),""))</f>
        <v/>
      </c>
      <c r="E16" s="62"/>
      <c r="F16" s="59"/>
      <c r="G16" s="59"/>
      <c r="H16" s="59"/>
      <c r="I16" s="62"/>
      <c r="J16" s="63"/>
      <c r="K16" s="64"/>
      <c r="L16" s="64"/>
    </row>
    <row r="17" customFormat="false" ht="15" hidden="false" customHeight="true" outlineLevel="0" collapsed="false">
      <c r="A17" s="21"/>
      <c r="B17" s="24" t="str">
        <f aca="false">IF(A17="","",IFERROR(VLOOKUP(A17,주문관리!$A:$D,4,0),"미확인"))</f>
        <v/>
      </c>
      <c r="C17" s="58" t="str">
        <f aca="false">IF(A17="","",IFERROR(VLOOKUP(A17,주문관리!$A:$F,6,0),""))</f>
        <v/>
      </c>
      <c r="D17" s="24" t="str">
        <f aca="false">IF(A17="","",IFERROR(VLOOKUP(A17,주문관리!$A:$G,7,0),""))</f>
        <v/>
      </c>
      <c r="E17" s="21"/>
      <c r="F17" s="21"/>
      <c r="G17" s="21"/>
      <c r="H17" s="21"/>
      <c r="I17" s="22"/>
      <c r="J17" s="40"/>
      <c r="K17" s="23"/>
      <c r="L17" s="23"/>
    </row>
    <row r="18" customFormat="false" ht="15" hidden="false" customHeight="true" outlineLevel="0" collapsed="false">
      <c r="A18" s="59"/>
      <c r="B18" s="60" t="str">
        <f aca="false">IF(A18="","",IFERROR(VLOOKUP(A18,주문관리!$A:$D,4,0),"미확인"))</f>
        <v/>
      </c>
      <c r="C18" s="61" t="str">
        <f aca="false">IF(A18="","",IFERROR(VLOOKUP(A18,주문관리!$A:$F,6,0),""))</f>
        <v/>
      </c>
      <c r="D18" s="60" t="str">
        <f aca="false">IF(A18="","",IFERROR(VLOOKUP(A18,주문관리!$A:$G,7,0),""))</f>
        <v/>
      </c>
      <c r="E18" s="62"/>
      <c r="F18" s="59"/>
      <c r="G18" s="59"/>
      <c r="H18" s="59"/>
      <c r="I18" s="62"/>
      <c r="J18" s="63"/>
      <c r="K18" s="64"/>
      <c r="L18" s="64"/>
    </row>
    <row r="19" customFormat="false" ht="15" hidden="false" customHeight="true" outlineLevel="0" collapsed="false">
      <c r="A19" s="21"/>
      <c r="B19" s="24" t="str">
        <f aca="false">IF(A19="","",IFERROR(VLOOKUP(A19,주문관리!$A:$D,4,0),"미확인"))</f>
        <v/>
      </c>
      <c r="C19" s="58" t="str">
        <f aca="false">IF(A19="","",IFERROR(VLOOKUP(A19,주문관리!$A:$F,6,0),""))</f>
        <v/>
      </c>
      <c r="D19" s="24" t="str">
        <f aca="false">IF(A19="","",IFERROR(VLOOKUP(A19,주문관리!$A:$G,7,0),""))</f>
        <v/>
      </c>
      <c r="E19" s="21"/>
      <c r="F19" s="21"/>
      <c r="G19" s="21"/>
      <c r="H19" s="21"/>
      <c r="I19" s="22"/>
      <c r="J19" s="40"/>
      <c r="K19" s="23"/>
      <c r="L19" s="23"/>
    </row>
    <row r="20" customFormat="false" ht="15" hidden="false" customHeight="true" outlineLevel="0" collapsed="false">
      <c r="A20" s="59"/>
      <c r="B20" s="60" t="str">
        <f aca="false">IF(A20="","",IFERROR(VLOOKUP(A20,주문관리!$A:$D,4,0),"미확인"))</f>
        <v/>
      </c>
      <c r="C20" s="61" t="str">
        <f aca="false">IF(A20="","",IFERROR(VLOOKUP(A20,주문관리!$A:$F,6,0),""))</f>
        <v/>
      </c>
      <c r="D20" s="60" t="str">
        <f aca="false">IF(A20="","",IFERROR(VLOOKUP(A20,주문관리!$A:$G,7,0),""))</f>
        <v/>
      </c>
      <c r="E20" s="62"/>
      <c r="F20" s="59"/>
      <c r="G20" s="59"/>
      <c r="H20" s="59"/>
      <c r="I20" s="62"/>
      <c r="J20" s="63"/>
      <c r="K20" s="64"/>
      <c r="L20" s="64"/>
    </row>
    <row r="21" customFormat="false" ht="15" hidden="false" customHeight="true" outlineLevel="0" collapsed="false">
      <c r="A21" s="21"/>
      <c r="B21" s="24" t="str">
        <f aca="false">IF(A21="","",IFERROR(VLOOKUP(A21,주문관리!$A:$D,4,0),"미확인"))</f>
        <v/>
      </c>
      <c r="C21" s="58" t="str">
        <f aca="false">IF(A21="","",IFERROR(VLOOKUP(A21,주문관리!$A:$F,6,0),""))</f>
        <v/>
      </c>
      <c r="D21" s="24" t="str">
        <f aca="false">IF(A21="","",IFERROR(VLOOKUP(A21,주문관리!$A:$G,7,0),""))</f>
        <v/>
      </c>
      <c r="E21" s="21"/>
      <c r="F21" s="21"/>
      <c r="G21" s="21"/>
      <c r="H21" s="21"/>
      <c r="I21" s="22"/>
      <c r="J21" s="40"/>
      <c r="K21" s="23"/>
      <c r="L21" s="23"/>
    </row>
    <row r="22" customFormat="false" ht="15" hidden="false" customHeight="true" outlineLevel="0" collapsed="false">
      <c r="A22" s="59"/>
      <c r="B22" s="60" t="str">
        <f aca="false">IF(A22="","",IFERROR(VLOOKUP(A22,주문관리!$A:$D,4,0),"미확인"))</f>
        <v/>
      </c>
      <c r="C22" s="61" t="str">
        <f aca="false">IF(A22="","",IFERROR(VLOOKUP(A22,주문관리!$A:$F,6,0),""))</f>
        <v/>
      </c>
      <c r="D22" s="60" t="str">
        <f aca="false">IF(A22="","",IFERROR(VLOOKUP(A22,주문관리!$A:$G,7,0),""))</f>
        <v/>
      </c>
      <c r="E22" s="62"/>
      <c r="F22" s="59"/>
      <c r="G22" s="59"/>
      <c r="H22" s="59"/>
      <c r="I22" s="62"/>
      <c r="J22" s="63"/>
      <c r="K22" s="64"/>
      <c r="L22" s="64"/>
    </row>
    <row r="23" customFormat="false" ht="15" hidden="false" customHeight="true" outlineLevel="0" collapsed="false">
      <c r="A23" s="21"/>
      <c r="B23" s="24" t="str">
        <f aca="false">IF(A23="","",IFERROR(VLOOKUP(A23,주문관리!$A:$D,4,0),"미확인"))</f>
        <v/>
      </c>
      <c r="C23" s="58" t="str">
        <f aca="false">IF(A23="","",IFERROR(VLOOKUP(A23,주문관리!$A:$F,6,0),""))</f>
        <v/>
      </c>
      <c r="D23" s="24" t="str">
        <f aca="false">IF(A23="","",IFERROR(VLOOKUP(A23,주문관리!$A:$G,7,0),""))</f>
        <v/>
      </c>
      <c r="E23" s="21"/>
      <c r="F23" s="21"/>
      <c r="G23" s="21"/>
      <c r="H23" s="21"/>
      <c r="I23" s="22"/>
      <c r="J23" s="40"/>
      <c r="K23" s="23"/>
      <c r="L23" s="23"/>
    </row>
    <row r="24" customFormat="false" ht="15" hidden="false" customHeight="true" outlineLevel="0" collapsed="false">
      <c r="A24" s="59"/>
      <c r="B24" s="60" t="str">
        <f aca="false">IF(A24="","",IFERROR(VLOOKUP(A24,주문관리!$A:$D,4,0),"미확인"))</f>
        <v/>
      </c>
      <c r="C24" s="61" t="str">
        <f aca="false">IF(A24="","",IFERROR(VLOOKUP(A24,주문관리!$A:$F,6,0),""))</f>
        <v/>
      </c>
      <c r="D24" s="60" t="str">
        <f aca="false">IF(A24="","",IFERROR(VLOOKUP(A24,주문관리!$A:$G,7,0),""))</f>
        <v/>
      </c>
      <c r="E24" s="62"/>
      <c r="F24" s="59"/>
      <c r="G24" s="59"/>
      <c r="H24" s="59"/>
      <c r="I24" s="62"/>
      <c r="J24" s="63"/>
      <c r="K24" s="64"/>
      <c r="L24" s="64"/>
    </row>
    <row r="25" customFormat="false" ht="15" hidden="false" customHeight="true" outlineLevel="0" collapsed="false">
      <c r="A25" s="21"/>
      <c r="B25" s="24" t="str">
        <f aca="false">IF(A25="","",IFERROR(VLOOKUP(A25,주문관리!$A:$D,4,0),"미확인"))</f>
        <v/>
      </c>
      <c r="C25" s="58" t="str">
        <f aca="false">IF(A25="","",IFERROR(VLOOKUP(A25,주문관리!$A:$F,6,0),""))</f>
        <v/>
      </c>
      <c r="D25" s="24" t="str">
        <f aca="false">IF(A25="","",IFERROR(VLOOKUP(A25,주문관리!$A:$G,7,0),""))</f>
        <v/>
      </c>
      <c r="E25" s="21"/>
      <c r="F25" s="21"/>
      <c r="G25" s="21"/>
      <c r="H25" s="21"/>
      <c r="I25" s="22"/>
      <c r="J25" s="40"/>
      <c r="K25" s="23"/>
      <c r="L25" s="23"/>
    </row>
    <row r="26" customFormat="false" ht="15" hidden="false" customHeight="true" outlineLevel="0" collapsed="false">
      <c r="A26" s="59"/>
      <c r="B26" s="60" t="str">
        <f aca="false">IF(A26="","",IFERROR(VLOOKUP(A26,주문관리!$A:$D,4,0),"미확인"))</f>
        <v/>
      </c>
      <c r="C26" s="61" t="str">
        <f aca="false">IF(A26="","",IFERROR(VLOOKUP(A26,주문관리!$A:$F,6,0),""))</f>
        <v/>
      </c>
      <c r="D26" s="60" t="str">
        <f aca="false">IF(A26="","",IFERROR(VLOOKUP(A26,주문관리!$A:$G,7,0),""))</f>
        <v/>
      </c>
      <c r="E26" s="62"/>
      <c r="F26" s="59"/>
      <c r="G26" s="59"/>
      <c r="H26" s="59"/>
      <c r="I26" s="62"/>
      <c r="J26" s="63"/>
      <c r="K26" s="64"/>
      <c r="L26" s="64"/>
    </row>
    <row r="27" customFormat="false" ht="15" hidden="false" customHeight="true" outlineLevel="0" collapsed="false">
      <c r="A27" s="21"/>
      <c r="B27" s="24" t="str">
        <f aca="false">IF(A27="","",IFERROR(VLOOKUP(A27,주문관리!$A:$D,4,0),"미확인"))</f>
        <v/>
      </c>
      <c r="C27" s="58" t="str">
        <f aca="false">IF(A27="","",IFERROR(VLOOKUP(A27,주문관리!$A:$F,6,0),""))</f>
        <v/>
      </c>
      <c r="D27" s="24" t="str">
        <f aca="false">IF(A27="","",IFERROR(VLOOKUP(A27,주문관리!$A:$G,7,0),""))</f>
        <v/>
      </c>
      <c r="E27" s="21"/>
      <c r="F27" s="21"/>
      <c r="G27" s="21"/>
      <c r="H27" s="21"/>
      <c r="I27" s="22"/>
      <c r="J27" s="40"/>
      <c r="K27" s="23"/>
      <c r="L27" s="23"/>
    </row>
    <row r="28" customFormat="false" ht="15" hidden="false" customHeight="true" outlineLevel="0" collapsed="false">
      <c r="A28" s="59"/>
      <c r="B28" s="60" t="str">
        <f aca="false">IF(A28="","",IFERROR(VLOOKUP(A28,주문관리!$A:$D,4,0),"미확인"))</f>
        <v/>
      </c>
      <c r="C28" s="61" t="str">
        <f aca="false">IF(A28="","",IFERROR(VLOOKUP(A28,주문관리!$A:$F,6,0),""))</f>
        <v/>
      </c>
      <c r="D28" s="60" t="str">
        <f aca="false">IF(A28="","",IFERROR(VLOOKUP(A28,주문관리!$A:$G,7,0),""))</f>
        <v/>
      </c>
      <c r="E28" s="62"/>
      <c r="F28" s="59"/>
      <c r="G28" s="59"/>
      <c r="H28" s="59"/>
      <c r="I28" s="62"/>
      <c r="J28" s="63"/>
      <c r="K28" s="64"/>
      <c r="L28" s="64"/>
    </row>
    <row r="29" customFormat="false" ht="15" hidden="false" customHeight="true" outlineLevel="0" collapsed="false">
      <c r="A29" s="21"/>
      <c r="B29" s="24" t="str">
        <f aca="false">IF(A29="","",IFERROR(VLOOKUP(A29,주문관리!$A:$D,4,0),"미확인"))</f>
        <v/>
      </c>
      <c r="C29" s="58" t="str">
        <f aca="false">IF(A29="","",IFERROR(VLOOKUP(A29,주문관리!$A:$F,6,0),""))</f>
        <v/>
      </c>
      <c r="D29" s="24" t="str">
        <f aca="false">IF(A29="","",IFERROR(VLOOKUP(A29,주문관리!$A:$G,7,0),""))</f>
        <v/>
      </c>
      <c r="E29" s="21"/>
      <c r="F29" s="21"/>
      <c r="G29" s="21"/>
      <c r="H29" s="21"/>
      <c r="I29" s="22"/>
      <c r="J29" s="40"/>
      <c r="K29" s="23"/>
      <c r="L29" s="23"/>
    </row>
    <row r="30" customFormat="false" ht="15" hidden="false" customHeight="true" outlineLevel="0" collapsed="false">
      <c r="A30" s="59"/>
      <c r="B30" s="60" t="str">
        <f aca="false">IF(A30="","",IFERROR(VLOOKUP(A30,주문관리!$A:$D,4,0),"미확인"))</f>
        <v/>
      </c>
      <c r="C30" s="61" t="str">
        <f aca="false">IF(A30="","",IFERROR(VLOOKUP(A30,주문관리!$A:$F,6,0),""))</f>
        <v/>
      </c>
      <c r="D30" s="60" t="str">
        <f aca="false">IF(A30="","",IFERROR(VLOOKUP(A30,주문관리!$A:$G,7,0),""))</f>
        <v/>
      </c>
      <c r="E30" s="62"/>
      <c r="F30" s="59"/>
      <c r="G30" s="59"/>
      <c r="H30" s="59"/>
      <c r="I30" s="62"/>
      <c r="J30" s="63"/>
      <c r="K30" s="64"/>
      <c r="L30" s="64"/>
    </row>
    <row r="31" customFormat="false" ht="15" hidden="false" customHeight="true" outlineLevel="0" collapsed="false">
      <c r="A31" s="21"/>
      <c r="B31" s="24" t="str">
        <f aca="false">IF(A31="","",IFERROR(VLOOKUP(A31,주문관리!$A:$D,4,0),"미확인"))</f>
        <v/>
      </c>
      <c r="C31" s="58" t="str">
        <f aca="false">IF(A31="","",IFERROR(VLOOKUP(A31,주문관리!$A:$F,6,0),""))</f>
        <v/>
      </c>
      <c r="D31" s="24" t="str">
        <f aca="false">IF(A31="","",IFERROR(VLOOKUP(A31,주문관리!$A:$G,7,0),""))</f>
        <v/>
      </c>
      <c r="E31" s="21"/>
      <c r="F31" s="21"/>
      <c r="G31" s="21"/>
      <c r="H31" s="21"/>
      <c r="I31" s="22"/>
      <c r="J31" s="40"/>
      <c r="K31" s="23"/>
      <c r="L31" s="23"/>
    </row>
    <row r="32" customFormat="false" ht="15" hidden="false" customHeight="true" outlineLevel="0" collapsed="false">
      <c r="A32" s="59"/>
      <c r="B32" s="60" t="str">
        <f aca="false">IF(A32="","",IFERROR(VLOOKUP(A32,주문관리!$A:$D,4,0),"미확인"))</f>
        <v/>
      </c>
      <c r="C32" s="61" t="str">
        <f aca="false">IF(A32="","",IFERROR(VLOOKUP(A32,주문관리!$A:$F,6,0),""))</f>
        <v/>
      </c>
      <c r="D32" s="60" t="str">
        <f aca="false">IF(A32="","",IFERROR(VLOOKUP(A32,주문관리!$A:$G,7,0),""))</f>
        <v/>
      </c>
      <c r="E32" s="62"/>
      <c r="F32" s="59"/>
      <c r="G32" s="59"/>
      <c r="H32" s="59"/>
      <c r="I32" s="62"/>
      <c r="J32" s="63"/>
      <c r="K32" s="64"/>
      <c r="L32" s="64"/>
    </row>
    <row r="33" customFormat="false" ht="15" hidden="false" customHeight="true" outlineLevel="0" collapsed="false">
      <c r="A33" s="21"/>
      <c r="B33" s="24" t="str">
        <f aca="false">IF(A33="","",IFERROR(VLOOKUP(A33,주문관리!$A:$D,4,0),"미확인"))</f>
        <v/>
      </c>
      <c r="C33" s="58" t="str">
        <f aca="false">IF(A33="","",IFERROR(VLOOKUP(A33,주문관리!$A:$F,6,0),""))</f>
        <v/>
      </c>
      <c r="D33" s="24" t="str">
        <f aca="false">IF(A33="","",IFERROR(VLOOKUP(A33,주문관리!$A:$G,7,0),""))</f>
        <v/>
      </c>
      <c r="E33" s="21"/>
      <c r="F33" s="21"/>
      <c r="G33" s="21"/>
      <c r="H33" s="21"/>
      <c r="I33" s="22"/>
      <c r="J33" s="40"/>
      <c r="K33" s="23"/>
      <c r="L33" s="23"/>
    </row>
    <row r="34" customFormat="false" ht="15" hidden="false" customHeight="true" outlineLevel="0" collapsed="false">
      <c r="A34" s="59"/>
      <c r="B34" s="60" t="str">
        <f aca="false">IF(A34="","",IFERROR(VLOOKUP(A34,주문관리!$A:$D,4,0),"미확인"))</f>
        <v/>
      </c>
      <c r="C34" s="61" t="str">
        <f aca="false">IF(A34="","",IFERROR(VLOOKUP(A34,주문관리!$A:$F,6,0),""))</f>
        <v/>
      </c>
      <c r="D34" s="60" t="str">
        <f aca="false">IF(A34="","",IFERROR(VLOOKUP(A34,주문관리!$A:$G,7,0),""))</f>
        <v/>
      </c>
      <c r="E34" s="62"/>
      <c r="F34" s="59"/>
      <c r="G34" s="59"/>
      <c r="H34" s="59"/>
      <c r="I34" s="62"/>
      <c r="J34" s="63"/>
      <c r="K34" s="64"/>
      <c r="L34" s="64"/>
    </row>
    <row r="35" customFormat="false" ht="15" hidden="false" customHeight="true" outlineLevel="0" collapsed="false">
      <c r="A35" s="21"/>
      <c r="B35" s="24" t="str">
        <f aca="false">IF(A35="","",IFERROR(VLOOKUP(A35,주문관리!$A:$D,4,0),"미확인"))</f>
        <v/>
      </c>
      <c r="C35" s="58" t="str">
        <f aca="false">IF(A35="","",IFERROR(VLOOKUP(A35,주문관리!$A:$F,6,0),""))</f>
        <v/>
      </c>
      <c r="D35" s="24" t="str">
        <f aca="false">IF(A35="","",IFERROR(VLOOKUP(A35,주문관리!$A:$G,7,0),""))</f>
        <v/>
      </c>
      <c r="E35" s="21"/>
      <c r="F35" s="21"/>
      <c r="G35" s="21"/>
      <c r="H35" s="21"/>
      <c r="I35" s="22"/>
      <c r="J35" s="40"/>
      <c r="K35" s="23"/>
      <c r="L35" s="23"/>
    </row>
    <row r="36" customFormat="false" ht="15" hidden="false" customHeight="true" outlineLevel="0" collapsed="false">
      <c r="A36" s="59"/>
      <c r="B36" s="60" t="str">
        <f aca="false">IF(A36="","",IFERROR(VLOOKUP(A36,주문관리!$A:$D,4,0),"미확인"))</f>
        <v/>
      </c>
      <c r="C36" s="61" t="str">
        <f aca="false">IF(A36="","",IFERROR(VLOOKUP(A36,주문관리!$A:$F,6,0),""))</f>
        <v/>
      </c>
      <c r="D36" s="60" t="str">
        <f aca="false">IF(A36="","",IFERROR(VLOOKUP(A36,주문관리!$A:$G,7,0),""))</f>
        <v/>
      </c>
      <c r="E36" s="62"/>
      <c r="F36" s="59"/>
      <c r="G36" s="59"/>
      <c r="H36" s="59"/>
      <c r="I36" s="62"/>
      <c r="J36" s="63"/>
      <c r="K36" s="64"/>
      <c r="L36" s="64"/>
    </row>
    <row r="37" customFormat="false" ht="15" hidden="false" customHeight="true" outlineLevel="0" collapsed="false">
      <c r="A37" s="21"/>
      <c r="B37" s="24" t="str">
        <f aca="false">IF(A37="","",IFERROR(VLOOKUP(A37,주문관리!$A:$D,4,0),"미확인"))</f>
        <v/>
      </c>
      <c r="C37" s="58" t="str">
        <f aca="false">IF(A37="","",IFERROR(VLOOKUP(A37,주문관리!$A:$F,6,0),""))</f>
        <v/>
      </c>
      <c r="D37" s="24" t="str">
        <f aca="false">IF(A37="","",IFERROR(VLOOKUP(A37,주문관리!$A:$G,7,0),""))</f>
        <v/>
      </c>
      <c r="E37" s="21"/>
      <c r="F37" s="21"/>
      <c r="G37" s="21"/>
      <c r="H37" s="21"/>
      <c r="I37" s="22"/>
      <c r="J37" s="40"/>
      <c r="K37" s="23"/>
      <c r="L37" s="23"/>
    </row>
    <row r="38" customFormat="false" ht="15" hidden="false" customHeight="true" outlineLevel="0" collapsed="false">
      <c r="A38" s="59"/>
      <c r="B38" s="60" t="str">
        <f aca="false">IF(A38="","",IFERROR(VLOOKUP(A38,주문관리!$A:$D,4,0),"미확인"))</f>
        <v/>
      </c>
      <c r="C38" s="61" t="str">
        <f aca="false">IF(A38="","",IFERROR(VLOOKUP(A38,주문관리!$A:$F,6,0),""))</f>
        <v/>
      </c>
      <c r="D38" s="60" t="str">
        <f aca="false">IF(A38="","",IFERROR(VLOOKUP(A38,주문관리!$A:$G,7,0),""))</f>
        <v/>
      </c>
      <c r="E38" s="62"/>
      <c r="F38" s="59"/>
      <c r="G38" s="59"/>
      <c r="H38" s="59"/>
      <c r="I38" s="62"/>
      <c r="J38" s="63"/>
      <c r="K38" s="64"/>
      <c r="L38" s="64"/>
    </row>
    <row r="39" customFormat="false" ht="15" hidden="false" customHeight="true" outlineLevel="0" collapsed="false">
      <c r="A39" s="21"/>
      <c r="B39" s="24" t="str">
        <f aca="false">IF(A39="","",IFERROR(VLOOKUP(A39,주문관리!$A:$D,4,0),"미확인"))</f>
        <v/>
      </c>
      <c r="C39" s="58" t="str">
        <f aca="false">IF(A39="","",IFERROR(VLOOKUP(A39,주문관리!$A:$F,6,0),""))</f>
        <v/>
      </c>
      <c r="D39" s="24" t="str">
        <f aca="false">IF(A39="","",IFERROR(VLOOKUP(A39,주문관리!$A:$G,7,0),""))</f>
        <v/>
      </c>
      <c r="E39" s="21"/>
      <c r="F39" s="21"/>
      <c r="G39" s="21"/>
      <c r="H39" s="21"/>
      <c r="I39" s="22"/>
      <c r="J39" s="40"/>
      <c r="K39" s="23"/>
      <c r="L39" s="23"/>
    </row>
    <row r="40" customFormat="false" ht="15" hidden="false" customHeight="true" outlineLevel="0" collapsed="false">
      <c r="A40" s="59"/>
      <c r="B40" s="60" t="str">
        <f aca="false">IF(A40="","",IFERROR(VLOOKUP(A40,주문관리!$A:$D,4,0),"미확인"))</f>
        <v/>
      </c>
      <c r="C40" s="61" t="str">
        <f aca="false">IF(A40="","",IFERROR(VLOOKUP(A40,주문관리!$A:$F,6,0),""))</f>
        <v/>
      </c>
      <c r="D40" s="60" t="str">
        <f aca="false">IF(A40="","",IFERROR(VLOOKUP(A40,주문관리!$A:$G,7,0),""))</f>
        <v/>
      </c>
      <c r="E40" s="62"/>
      <c r="F40" s="59"/>
      <c r="G40" s="59"/>
      <c r="H40" s="59"/>
      <c r="I40" s="62"/>
      <c r="J40" s="63"/>
      <c r="K40" s="64"/>
      <c r="L40" s="64"/>
    </row>
    <row r="41" customFormat="false" ht="15" hidden="false" customHeight="true" outlineLevel="0" collapsed="false">
      <c r="A41" s="21"/>
      <c r="B41" s="24" t="str">
        <f aca="false">IF(A41="","",IFERROR(VLOOKUP(A41,주문관리!$A:$D,4,0),"미확인"))</f>
        <v/>
      </c>
      <c r="C41" s="58" t="str">
        <f aca="false">IF(A41="","",IFERROR(VLOOKUP(A41,주문관리!$A:$F,6,0),""))</f>
        <v/>
      </c>
      <c r="D41" s="24" t="str">
        <f aca="false">IF(A41="","",IFERROR(VLOOKUP(A41,주문관리!$A:$G,7,0),""))</f>
        <v/>
      </c>
      <c r="E41" s="21"/>
      <c r="F41" s="21"/>
      <c r="G41" s="21"/>
      <c r="H41" s="21"/>
      <c r="I41" s="22"/>
      <c r="J41" s="40"/>
      <c r="K41" s="23"/>
      <c r="L41" s="23"/>
    </row>
    <row r="42" customFormat="false" ht="15" hidden="false" customHeight="true" outlineLevel="0" collapsed="false">
      <c r="A42" s="59"/>
      <c r="B42" s="60" t="str">
        <f aca="false">IF(A42="","",IFERROR(VLOOKUP(A42,주문관리!$A:$D,4,0),"미확인"))</f>
        <v/>
      </c>
      <c r="C42" s="61" t="str">
        <f aca="false">IF(A42="","",IFERROR(VLOOKUP(A42,주문관리!$A:$F,6,0),""))</f>
        <v/>
      </c>
      <c r="D42" s="60" t="str">
        <f aca="false">IF(A42="","",IFERROR(VLOOKUP(A42,주문관리!$A:$G,7,0),""))</f>
        <v/>
      </c>
      <c r="E42" s="62"/>
      <c r="F42" s="59"/>
      <c r="G42" s="59"/>
      <c r="H42" s="59"/>
      <c r="I42" s="62"/>
      <c r="J42" s="63"/>
      <c r="K42" s="64"/>
      <c r="L42" s="64"/>
    </row>
    <row r="43" customFormat="false" ht="15" hidden="false" customHeight="true" outlineLevel="0" collapsed="false">
      <c r="A43" s="21"/>
      <c r="B43" s="24" t="str">
        <f aca="false">IF(A43="","",IFERROR(VLOOKUP(A43,주문관리!$A:$D,4,0),"미확인"))</f>
        <v/>
      </c>
      <c r="C43" s="58" t="str">
        <f aca="false">IF(A43="","",IFERROR(VLOOKUP(A43,주문관리!$A:$F,6,0),""))</f>
        <v/>
      </c>
      <c r="D43" s="24" t="str">
        <f aca="false">IF(A43="","",IFERROR(VLOOKUP(A43,주문관리!$A:$G,7,0),""))</f>
        <v/>
      </c>
      <c r="E43" s="21"/>
      <c r="F43" s="21"/>
      <c r="G43" s="21"/>
      <c r="H43" s="21"/>
      <c r="I43" s="22"/>
      <c r="J43" s="40"/>
      <c r="K43" s="23"/>
      <c r="L43" s="23"/>
    </row>
    <row r="44" customFormat="false" ht="15" hidden="false" customHeight="true" outlineLevel="0" collapsed="false">
      <c r="A44" s="59"/>
      <c r="B44" s="60" t="str">
        <f aca="false">IF(A44="","",IFERROR(VLOOKUP(A44,주문관리!$A:$D,4,0),"미확인"))</f>
        <v/>
      </c>
      <c r="C44" s="61" t="str">
        <f aca="false">IF(A44="","",IFERROR(VLOOKUP(A44,주문관리!$A:$F,6,0),""))</f>
        <v/>
      </c>
      <c r="D44" s="60" t="str">
        <f aca="false">IF(A44="","",IFERROR(VLOOKUP(A44,주문관리!$A:$G,7,0),""))</f>
        <v/>
      </c>
      <c r="E44" s="62"/>
      <c r="F44" s="59"/>
      <c r="G44" s="59"/>
      <c r="H44" s="59"/>
      <c r="I44" s="62"/>
      <c r="J44" s="63"/>
      <c r="K44" s="64"/>
      <c r="L44" s="64"/>
    </row>
    <row r="45" customFormat="false" ht="15" hidden="false" customHeight="true" outlineLevel="0" collapsed="false">
      <c r="A45" s="21"/>
      <c r="B45" s="24" t="str">
        <f aca="false">IF(A45="","",IFERROR(VLOOKUP(A45,주문관리!$A:$D,4,0),"미확인"))</f>
        <v/>
      </c>
      <c r="C45" s="58" t="str">
        <f aca="false">IF(A45="","",IFERROR(VLOOKUP(A45,주문관리!$A:$F,6,0),""))</f>
        <v/>
      </c>
      <c r="D45" s="24" t="str">
        <f aca="false">IF(A45="","",IFERROR(VLOOKUP(A45,주문관리!$A:$G,7,0),""))</f>
        <v/>
      </c>
      <c r="E45" s="21"/>
      <c r="F45" s="21"/>
      <c r="G45" s="21"/>
      <c r="H45" s="21"/>
      <c r="I45" s="22"/>
      <c r="J45" s="40"/>
      <c r="K45" s="23"/>
      <c r="L45" s="23"/>
    </row>
    <row r="46" customFormat="false" ht="15" hidden="false" customHeight="true" outlineLevel="0" collapsed="false">
      <c r="A46" s="59"/>
      <c r="B46" s="60" t="str">
        <f aca="false">IF(A46="","",IFERROR(VLOOKUP(A46,주문관리!$A:$D,4,0),"미확인"))</f>
        <v/>
      </c>
      <c r="C46" s="61" t="str">
        <f aca="false">IF(A46="","",IFERROR(VLOOKUP(A46,주문관리!$A:$F,6,0),""))</f>
        <v/>
      </c>
      <c r="D46" s="60" t="str">
        <f aca="false">IF(A46="","",IFERROR(VLOOKUP(A46,주문관리!$A:$G,7,0),""))</f>
        <v/>
      </c>
      <c r="E46" s="62"/>
      <c r="F46" s="59"/>
      <c r="G46" s="59"/>
      <c r="H46" s="59"/>
      <c r="I46" s="62"/>
      <c r="J46" s="63"/>
      <c r="K46" s="64"/>
      <c r="L46" s="64"/>
    </row>
    <row r="47" customFormat="false" ht="15" hidden="false" customHeight="true" outlineLevel="0" collapsed="false">
      <c r="A47" s="21"/>
      <c r="B47" s="24" t="str">
        <f aca="false">IF(A47="","",IFERROR(VLOOKUP(A47,주문관리!$A:$D,4,0),"미확인"))</f>
        <v/>
      </c>
      <c r="C47" s="58" t="str">
        <f aca="false">IF(A47="","",IFERROR(VLOOKUP(A47,주문관리!$A:$F,6,0),""))</f>
        <v/>
      </c>
      <c r="D47" s="24" t="str">
        <f aca="false">IF(A47="","",IFERROR(VLOOKUP(A47,주문관리!$A:$G,7,0),""))</f>
        <v/>
      </c>
      <c r="E47" s="21"/>
      <c r="F47" s="21"/>
      <c r="G47" s="21"/>
      <c r="H47" s="21"/>
      <c r="I47" s="22"/>
      <c r="J47" s="40"/>
      <c r="K47" s="23"/>
      <c r="L47" s="23"/>
    </row>
    <row r="48" customFormat="false" ht="15" hidden="false" customHeight="true" outlineLevel="0" collapsed="false">
      <c r="A48" s="59"/>
      <c r="B48" s="60" t="str">
        <f aca="false">IF(A48="","",IFERROR(VLOOKUP(A48,주문관리!$A:$D,4,0),"미확인"))</f>
        <v/>
      </c>
      <c r="C48" s="61" t="str">
        <f aca="false">IF(A48="","",IFERROR(VLOOKUP(A48,주문관리!$A:$F,6,0),""))</f>
        <v/>
      </c>
      <c r="D48" s="60" t="str">
        <f aca="false">IF(A48="","",IFERROR(VLOOKUP(A48,주문관리!$A:$G,7,0),""))</f>
        <v/>
      </c>
      <c r="E48" s="62"/>
      <c r="F48" s="59"/>
      <c r="G48" s="59"/>
      <c r="H48" s="59"/>
      <c r="I48" s="62"/>
      <c r="J48" s="63"/>
      <c r="K48" s="64"/>
      <c r="L48" s="64"/>
    </row>
    <row r="49" customFormat="false" ht="15" hidden="false" customHeight="true" outlineLevel="0" collapsed="false">
      <c r="A49" s="21"/>
      <c r="B49" s="24" t="str">
        <f aca="false">IF(A49="","",IFERROR(VLOOKUP(A49,주문관리!$A:$D,4,0),"미확인"))</f>
        <v/>
      </c>
      <c r="C49" s="58" t="str">
        <f aca="false">IF(A49="","",IFERROR(VLOOKUP(A49,주문관리!$A:$F,6,0),""))</f>
        <v/>
      </c>
      <c r="D49" s="24" t="str">
        <f aca="false">IF(A49="","",IFERROR(VLOOKUP(A49,주문관리!$A:$G,7,0),""))</f>
        <v/>
      </c>
      <c r="E49" s="21"/>
      <c r="F49" s="21"/>
      <c r="G49" s="21"/>
      <c r="H49" s="21"/>
      <c r="I49" s="22"/>
      <c r="J49" s="40"/>
      <c r="K49" s="23"/>
      <c r="L49" s="23"/>
    </row>
    <row r="50" customFormat="false" ht="15" hidden="false" customHeight="true" outlineLevel="0" collapsed="false">
      <c r="A50" s="59"/>
      <c r="B50" s="60" t="str">
        <f aca="false">IF(A50="","",IFERROR(VLOOKUP(A50,주문관리!$A:$D,4,0),"미확인"))</f>
        <v/>
      </c>
      <c r="C50" s="61" t="str">
        <f aca="false">IF(A50="","",IFERROR(VLOOKUP(A50,주문관리!$A:$F,6,0),""))</f>
        <v/>
      </c>
      <c r="D50" s="60" t="str">
        <f aca="false">IF(A50="","",IFERROR(VLOOKUP(A50,주문관리!$A:$G,7,0),""))</f>
        <v/>
      </c>
      <c r="E50" s="62"/>
      <c r="F50" s="59"/>
      <c r="G50" s="59"/>
      <c r="H50" s="59"/>
      <c r="I50" s="62"/>
      <c r="J50" s="63"/>
      <c r="K50" s="64"/>
      <c r="L50" s="64"/>
    </row>
    <row r="51" customFormat="false" ht="15" hidden="false" customHeight="true" outlineLevel="0" collapsed="false">
      <c r="A51" s="21"/>
      <c r="B51" s="24" t="str">
        <f aca="false">IF(A51="","",IFERROR(VLOOKUP(A51,주문관리!$A:$D,4,0),"미확인"))</f>
        <v/>
      </c>
      <c r="C51" s="58" t="str">
        <f aca="false">IF(A51="","",IFERROR(VLOOKUP(A51,주문관리!$A:$F,6,0),""))</f>
        <v/>
      </c>
      <c r="D51" s="24" t="str">
        <f aca="false">IF(A51="","",IFERROR(VLOOKUP(A51,주문관리!$A:$G,7,0),""))</f>
        <v/>
      </c>
      <c r="E51" s="21"/>
      <c r="F51" s="21"/>
      <c r="G51" s="21"/>
      <c r="H51" s="21"/>
      <c r="I51" s="22"/>
      <c r="J51" s="40"/>
      <c r="K51" s="23"/>
      <c r="L51" s="23"/>
    </row>
    <row r="52" customFormat="false" ht="15" hidden="false" customHeight="true" outlineLevel="0" collapsed="false">
      <c r="A52" s="59"/>
      <c r="B52" s="60" t="str">
        <f aca="false">IF(A52="","",IFERROR(VLOOKUP(A52,주문관리!$A:$D,4,0),"미확인"))</f>
        <v/>
      </c>
      <c r="C52" s="61" t="str">
        <f aca="false">IF(A52="","",IFERROR(VLOOKUP(A52,주문관리!$A:$F,6,0),""))</f>
        <v/>
      </c>
      <c r="D52" s="60" t="str">
        <f aca="false">IF(A52="","",IFERROR(VLOOKUP(A52,주문관리!$A:$G,7,0),""))</f>
        <v/>
      </c>
      <c r="E52" s="62"/>
      <c r="F52" s="59"/>
      <c r="G52" s="59"/>
      <c r="H52" s="59"/>
      <c r="I52" s="62"/>
      <c r="J52" s="63"/>
      <c r="K52" s="64"/>
      <c r="L52" s="64"/>
    </row>
    <row r="53" customFormat="false" ht="15" hidden="false" customHeight="true" outlineLevel="0" collapsed="false">
      <c r="A53" s="21"/>
      <c r="B53" s="24" t="str">
        <f aca="false">IF(A53="","",IFERROR(VLOOKUP(A53,주문관리!$A:$D,4,0),"미확인"))</f>
        <v/>
      </c>
      <c r="C53" s="58" t="str">
        <f aca="false">IF(A53="","",IFERROR(VLOOKUP(A53,주문관리!$A:$F,6,0),""))</f>
        <v/>
      </c>
      <c r="D53" s="24" t="str">
        <f aca="false">IF(A53="","",IFERROR(VLOOKUP(A53,주문관리!$A:$G,7,0),""))</f>
        <v/>
      </c>
      <c r="E53" s="21"/>
      <c r="F53" s="21"/>
      <c r="G53" s="21"/>
      <c r="H53" s="21"/>
      <c r="I53" s="22"/>
      <c r="J53" s="40"/>
      <c r="K53" s="23"/>
      <c r="L53" s="23"/>
    </row>
    <row r="54" customFormat="false" ht="15" hidden="false" customHeight="true" outlineLevel="0" collapsed="false">
      <c r="A54" s="59"/>
      <c r="B54" s="60" t="str">
        <f aca="false">IF(A54="","",IFERROR(VLOOKUP(A54,주문관리!$A:$D,4,0),"미확인"))</f>
        <v/>
      </c>
      <c r="C54" s="61" t="str">
        <f aca="false">IF(A54="","",IFERROR(VLOOKUP(A54,주문관리!$A:$F,6,0),""))</f>
        <v/>
      </c>
      <c r="D54" s="60" t="str">
        <f aca="false">IF(A54="","",IFERROR(VLOOKUP(A54,주문관리!$A:$G,7,0),""))</f>
        <v/>
      </c>
      <c r="E54" s="62"/>
      <c r="F54" s="59"/>
      <c r="G54" s="59"/>
      <c r="H54" s="59"/>
      <c r="I54" s="62"/>
      <c r="J54" s="63"/>
      <c r="K54" s="64"/>
      <c r="L54" s="64"/>
    </row>
    <row r="55" customFormat="false" ht="15" hidden="false" customHeight="true" outlineLevel="0" collapsed="false">
      <c r="A55" s="21"/>
      <c r="B55" s="24" t="str">
        <f aca="false">IF(A55="","",IFERROR(VLOOKUP(A55,주문관리!$A:$D,4,0),"미확인"))</f>
        <v/>
      </c>
      <c r="C55" s="58" t="str">
        <f aca="false">IF(A55="","",IFERROR(VLOOKUP(A55,주문관리!$A:$F,6,0),""))</f>
        <v/>
      </c>
      <c r="D55" s="24" t="str">
        <f aca="false">IF(A55="","",IFERROR(VLOOKUP(A55,주문관리!$A:$G,7,0),""))</f>
        <v/>
      </c>
      <c r="E55" s="21"/>
      <c r="F55" s="21"/>
      <c r="G55" s="21"/>
      <c r="H55" s="21"/>
      <c r="I55" s="22"/>
      <c r="J55" s="40"/>
      <c r="K55" s="23"/>
      <c r="L55" s="23"/>
    </row>
    <row r="56" customFormat="false" ht="15" hidden="false" customHeight="true" outlineLevel="0" collapsed="false">
      <c r="A56" s="59"/>
      <c r="B56" s="60" t="str">
        <f aca="false">IF(A56="","",IFERROR(VLOOKUP(A56,주문관리!$A:$D,4,0),"미확인"))</f>
        <v/>
      </c>
      <c r="C56" s="61" t="str">
        <f aca="false">IF(A56="","",IFERROR(VLOOKUP(A56,주문관리!$A:$F,6,0),""))</f>
        <v/>
      </c>
      <c r="D56" s="60" t="str">
        <f aca="false">IF(A56="","",IFERROR(VLOOKUP(A56,주문관리!$A:$G,7,0),""))</f>
        <v/>
      </c>
      <c r="E56" s="62"/>
      <c r="F56" s="59"/>
      <c r="G56" s="59"/>
      <c r="H56" s="59"/>
      <c r="I56" s="62"/>
      <c r="J56" s="63"/>
      <c r="K56" s="64"/>
      <c r="L56" s="64"/>
    </row>
    <row r="57" customFormat="false" ht="15" hidden="false" customHeight="true" outlineLevel="0" collapsed="false">
      <c r="A57" s="21"/>
      <c r="B57" s="24" t="str">
        <f aca="false">IF(A57="","",IFERROR(VLOOKUP(A57,주문관리!$A:$D,4,0),"미확인"))</f>
        <v/>
      </c>
      <c r="C57" s="58" t="str">
        <f aca="false">IF(A57="","",IFERROR(VLOOKUP(A57,주문관리!$A:$F,6,0),""))</f>
        <v/>
      </c>
      <c r="D57" s="24" t="str">
        <f aca="false">IF(A57="","",IFERROR(VLOOKUP(A57,주문관리!$A:$G,7,0),""))</f>
        <v/>
      </c>
      <c r="E57" s="21"/>
      <c r="F57" s="21"/>
      <c r="G57" s="21"/>
      <c r="H57" s="21"/>
      <c r="I57" s="22"/>
      <c r="J57" s="40"/>
      <c r="K57" s="23"/>
      <c r="L57" s="23"/>
    </row>
    <row r="58" customFormat="false" ht="15" hidden="false" customHeight="true" outlineLevel="0" collapsed="false">
      <c r="A58" s="59"/>
      <c r="B58" s="60" t="str">
        <f aca="false">IF(A58="","",IFERROR(VLOOKUP(A58,주문관리!$A:$D,4,0),"미확인"))</f>
        <v/>
      </c>
      <c r="C58" s="61" t="str">
        <f aca="false">IF(A58="","",IFERROR(VLOOKUP(A58,주문관리!$A:$F,6,0),""))</f>
        <v/>
      </c>
      <c r="D58" s="60" t="str">
        <f aca="false">IF(A58="","",IFERROR(VLOOKUP(A58,주문관리!$A:$G,7,0),""))</f>
        <v/>
      </c>
      <c r="E58" s="62"/>
      <c r="F58" s="59"/>
      <c r="G58" s="59"/>
      <c r="H58" s="59"/>
      <c r="I58" s="62"/>
      <c r="J58" s="63"/>
      <c r="K58" s="64"/>
      <c r="L58" s="64"/>
    </row>
    <row r="59" customFormat="false" ht="15" hidden="false" customHeight="true" outlineLevel="0" collapsed="false">
      <c r="A59" s="21"/>
      <c r="B59" s="24" t="str">
        <f aca="false">IF(A59="","",IFERROR(VLOOKUP(A59,주문관리!$A:$D,4,0),"미확인"))</f>
        <v/>
      </c>
      <c r="C59" s="58" t="str">
        <f aca="false">IF(A59="","",IFERROR(VLOOKUP(A59,주문관리!$A:$F,6,0),""))</f>
        <v/>
      </c>
      <c r="D59" s="24" t="str">
        <f aca="false">IF(A59="","",IFERROR(VLOOKUP(A59,주문관리!$A:$G,7,0),""))</f>
        <v/>
      </c>
      <c r="E59" s="21"/>
      <c r="F59" s="21"/>
      <c r="G59" s="21"/>
      <c r="H59" s="21"/>
      <c r="I59" s="22"/>
      <c r="J59" s="40"/>
      <c r="K59" s="23"/>
      <c r="L59" s="23"/>
    </row>
    <row r="60" customFormat="false" ht="15" hidden="false" customHeight="true" outlineLevel="0" collapsed="false">
      <c r="A60" s="59"/>
      <c r="B60" s="60" t="str">
        <f aca="false">IF(A60="","",IFERROR(VLOOKUP(A60,주문관리!$A:$D,4,0),"미확인"))</f>
        <v/>
      </c>
      <c r="C60" s="61" t="str">
        <f aca="false">IF(A60="","",IFERROR(VLOOKUP(A60,주문관리!$A:$F,6,0),""))</f>
        <v/>
      </c>
      <c r="D60" s="60" t="str">
        <f aca="false">IF(A60="","",IFERROR(VLOOKUP(A60,주문관리!$A:$G,7,0),""))</f>
        <v/>
      </c>
      <c r="E60" s="62"/>
      <c r="F60" s="59"/>
      <c r="G60" s="59"/>
      <c r="H60" s="59"/>
      <c r="I60" s="62"/>
      <c r="J60" s="63"/>
      <c r="K60" s="64"/>
      <c r="L60" s="64"/>
    </row>
    <row r="61" customFormat="false" ht="15" hidden="false" customHeight="true" outlineLevel="0" collapsed="false">
      <c r="A61" s="21"/>
      <c r="B61" s="24" t="str">
        <f aca="false">IF(A61="","",IFERROR(VLOOKUP(A61,주문관리!$A:$D,4,0),"미확인"))</f>
        <v/>
      </c>
      <c r="C61" s="58" t="str">
        <f aca="false">IF(A61="","",IFERROR(VLOOKUP(A61,주문관리!$A:$F,6,0),""))</f>
        <v/>
      </c>
      <c r="D61" s="24" t="str">
        <f aca="false">IF(A61="","",IFERROR(VLOOKUP(A61,주문관리!$A:$G,7,0),""))</f>
        <v/>
      </c>
      <c r="E61" s="21"/>
      <c r="F61" s="21"/>
      <c r="G61" s="21"/>
      <c r="H61" s="21"/>
      <c r="I61" s="22"/>
      <c r="J61" s="40"/>
      <c r="K61" s="23"/>
      <c r="L61" s="23"/>
    </row>
    <row r="62" customFormat="false" ht="15" hidden="false" customHeight="true" outlineLevel="0" collapsed="false">
      <c r="A62" s="59"/>
      <c r="B62" s="60" t="str">
        <f aca="false">IF(A62="","",IFERROR(VLOOKUP(A62,주문관리!$A:$D,4,0),"미확인"))</f>
        <v/>
      </c>
      <c r="C62" s="61" t="str">
        <f aca="false">IF(A62="","",IFERROR(VLOOKUP(A62,주문관리!$A:$F,6,0),""))</f>
        <v/>
      </c>
      <c r="D62" s="60" t="str">
        <f aca="false">IF(A62="","",IFERROR(VLOOKUP(A62,주문관리!$A:$G,7,0),""))</f>
        <v/>
      </c>
      <c r="E62" s="62"/>
      <c r="F62" s="59"/>
      <c r="G62" s="59"/>
      <c r="H62" s="59"/>
      <c r="I62" s="62"/>
      <c r="J62" s="63"/>
      <c r="K62" s="64"/>
      <c r="L62" s="64"/>
    </row>
    <row r="63" customFormat="false" ht="15" hidden="false" customHeight="true" outlineLevel="0" collapsed="false">
      <c r="A63" s="21"/>
      <c r="B63" s="24" t="str">
        <f aca="false">IF(A63="","",IFERROR(VLOOKUP(A63,주문관리!$A:$D,4,0),"미확인"))</f>
        <v/>
      </c>
      <c r="C63" s="58" t="str">
        <f aca="false">IF(A63="","",IFERROR(VLOOKUP(A63,주문관리!$A:$F,6,0),""))</f>
        <v/>
      </c>
      <c r="D63" s="24" t="str">
        <f aca="false">IF(A63="","",IFERROR(VLOOKUP(A63,주문관리!$A:$G,7,0),""))</f>
        <v/>
      </c>
      <c r="E63" s="21"/>
      <c r="F63" s="21"/>
      <c r="G63" s="21"/>
      <c r="H63" s="21"/>
      <c r="I63" s="22"/>
      <c r="J63" s="40"/>
      <c r="K63" s="23"/>
      <c r="L63" s="23"/>
    </row>
    <row r="64" customFormat="false" ht="15" hidden="false" customHeight="true" outlineLevel="0" collapsed="false">
      <c r="A64" s="59"/>
      <c r="B64" s="60" t="str">
        <f aca="false">IF(A64="","",IFERROR(VLOOKUP(A64,주문관리!$A:$D,4,0),"미확인"))</f>
        <v/>
      </c>
      <c r="C64" s="61" t="str">
        <f aca="false">IF(A64="","",IFERROR(VLOOKUP(A64,주문관리!$A:$F,6,0),""))</f>
        <v/>
      </c>
      <c r="D64" s="60" t="str">
        <f aca="false">IF(A64="","",IFERROR(VLOOKUP(A64,주문관리!$A:$G,7,0),""))</f>
        <v/>
      </c>
      <c r="E64" s="62"/>
      <c r="F64" s="59"/>
      <c r="G64" s="59"/>
      <c r="H64" s="59"/>
      <c r="I64" s="62"/>
      <c r="J64" s="63"/>
      <c r="K64" s="64"/>
      <c r="L64" s="64"/>
    </row>
  </sheetData>
  <mergeCells count="2">
    <mergeCell ref="A1:L1"/>
    <mergeCell ref="A2:L2"/>
  </mergeCells>
  <dataValidations count="2">
    <dataValidation allowBlank="true" errorStyle="stop" operator="between" showDropDown="false" showErrorMessage="false" showInputMessage="false" sqref="E5:E64" type="list">
      <formula1>"CJ대한통운,한진택배,롯데택배,우체국택배,로젠택배,기타"</formula1>
      <formula2>0</formula2>
    </dataValidation>
    <dataValidation allowBlank="true" errorStyle="stop" operator="between" showDropDown="false" showErrorMessage="false" showInputMessage="false" sqref="I5:I64" type="list">
      <formula1>"접수,상품준비중,집화완료,배송중,배송완료,반송,취소"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2"/>
    <col collapsed="false" customWidth="true" hidden="false" outlineLevel="0" max="3" min="3" style="1" width="9"/>
    <col collapsed="false" customWidth="true" hidden="false" outlineLevel="0" max="4" min="4" style="1" width="15"/>
    <col collapsed="false" customWidth="true" hidden="false" outlineLevel="0" max="5" min="5" style="1" width="20"/>
    <col collapsed="false" customWidth="true" hidden="false" outlineLevel="0" max="6" min="6" style="1" width="9"/>
    <col collapsed="false" customWidth="true" hidden="false" outlineLevel="0" max="7" min="7" style="1" width="10"/>
    <col collapsed="false" customWidth="true" hidden="false" outlineLevel="0" max="8" min="8" style="1" width="9"/>
    <col collapsed="false" customWidth="true" hidden="false" outlineLevel="0" max="9" min="9" style="1" width="12"/>
    <col collapsed="false" customWidth="true" hidden="false" outlineLevel="0" max="10" min="10" style="1" width="13"/>
    <col collapsed="false" customWidth="true" hidden="false" outlineLevel="0" max="11" min="11" style="1" width="8"/>
    <col collapsed="false" customWidth="true" hidden="false" outlineLevel="0" max="12" min="12" style="1" width="16"/>
  </cols>
  <sheetData>
    <row r="1" customFormat="false" ht="24" hidden="false" customHeight="true" outlineLevel="0" collapsed="false">
      <c r="A1" s="18" t="s">
        <v>236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customFormat="false" ht="15.75" hidden="false" customHeight="true" outlineLevel="0" collapsed="false">
      <c r="A2" s="19" t="s">
        <v>237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4" customFormat="false" ht="15" hidden="false" customHeight="true" outlineLevel="0" collapsed="false">
      <c r="A4" s="20" t="s">
        <v>158</v>
      </c>
      <c r="B4" s="20" t="s">
        <v>159</v>
      </c>
      <c r="C4" s="20" t="s">
        <v>238</v>
      </c>
      <c r="D4" s="20" t="s">
        <v>28</v>
      </c>
      <c r="E4" s="20" t="s">
        <v>27</v>
      </c>
      <c r="F4" s="20" t="s">
        <v>239</v>
      </c>
      <c r="G4" s="20" t="s">
        <v>240</v>
      </c>
      <c r="H4" s="20" t="s">
        <v>241</v>
      </c>
      <c r="I4" s="20" t="s">
        <v>242</v>
      </c>
      <c r="J4" s="20" t="s">
        <v>243</v>
      </c>
      <c r="K4" s="20" t="s">
        <v>35</v>
      </c>
      <c r="L4" s="20" t="s">
        <v>36</v>
      </c>
    </row>
    <row r="5" customFormat="false" ht="15" hidden="false" customHeight="true" outlineLevel="0" collapsed="false">
      <c r="A5" s="21" t="s">
        <v>134</v>
      </c>
      <c r="B5" s="22" t="s">
        <v>244</v>
      </c>
      <c r="C5" s="22" t="s">
        <v>245</v>
      </c>
      <c r="D5" s="21" t="s">
        <v>246</v>
      </c>
      <c r="E5" s="23" t="s">
        <v>247</v>
      </c>
      <c r="F5" s="22" t="s">
        <v>248</v>
      </c>
      <c r="G5" s="22" t="s">
        <v>249</v>
      </c>
      <c r="H5" s="65" t="n">
        <v>0.1</v>
      </c>
      <c r="I5" s="21" t="s">
        <v>250</v>
      </c>
      <c r="J5" s="54" t="n">
        <f aca="false">IF(A5="","",SUMIF(주문관리!$O:$O,A5,주문관리!$K:$K))</f>
        <v>181000</v>
      </c>
      <c r="K5" s="25" t="s">
        <v>251</v>
      </c>
      <c r="L5" s="21"/>
    </row>
    <row r="6" customFormat="false" ht="15" hidden="false" customHeight="true" outlineLevel="0" collapsed="false">
      <c r="A6" s="26" t="s">
        <v>144</v>
      </c>
      <c r="B6" s="27" t="s">
        <v>252</v>
      </c>
      <c r="C6" s="27" t="s">
        <v>253</v>
      </c>
      <c r="D6" s="26" t="s">
        <v>254</v>
      </c>
      <c r="E6" s="28" t="s">
        <v>255</v>
      </c>
      <c r="F6" s="27" t="s">
        <v>248</v>
      </c>
      <c r="G6" s="27" t="s">
        <v>256</v>
      </c>
      <c r="H6" s="66" t="n">
        <v>0.12</v>
      </c>
      <c r="I6" s="26" t="s">
        <v>257</v>
      </c>
      <c r="J6" s="55" t="n">
        <f aca="false">IF(A6="","",SUMIF(주문관리!$O:$O,A6,주문관리!$K:$K))</f>
        <v>39000</v>
      </c>
      <c r="K6" s="42" t="s">
        <v>251</v>
      </c>
      <c r="L6" s="26"/>
    </row>
    <row r="7" customFormat="false" ht="15" hidden="false" customHeight="true" outlineLevel="0" collapsed="false">
      <c r="A7" s="21" t="s">
        <v>149</v>
      </c>
      <c r="B7" s="22" t="s">
        <v>258</v>
      </c>
      <c r="C7" s="22" t="s">
        <v>259</v>
      </c>
      <c r="D7" s="21" t="s">
        <v>260</v>
      </c>
      <c r="E7" s="23" t="s">
        <v>261</v>
      </c>
      <c r="F7" s="22" t="s">
        <v>248</v>
      </c>
      <c r="G7" s="22" t="s">
        <v>249</v>
      </c>
      <c r="H7" s="65" t="n">
        <v>0.08</v>
      </c>
      <c r="I7" s="21" t="s">
        <v>262</v>
      </c>
      <c r="J7" s="54" t="n">
        <f aca="false">IF(A7="","",SUMIF(주문관리!$O:$O,A7,주문관리!$K:$K))</f>
        <v>49000</v>
      </c>
      <c r="K7" s="25" t="s">
        <v>251</v>
      </c>
      <c r="L7" s="21"/>
    </row>
    <row r="8" customFormat="false" ht="15" hidden="false" customHeight="true" outlineLevel="0" collapsed="false">
      <c r="A8" s="26" t="s">
        <v>263</v>
      </c>
      <c r="B8" s="27" t="s">
        <v>264</v>
      </c>
      <c r="C8" s="27" t="s">
        <v>265</v>
      </c>
      <c r="D8" s="26" t="s">
        <v>266</v>
      </c>
      <c r="E8" s="28" t="s">
        <v>267</v>
      </c>
      <c r="F8" s="27" t="s">
        <v>268</v>
      </c>
      <c r="G8" s="27" t="s">
        <v>269</v>
      </c>
      <c r="H8" s="66"/>
      <c r="I8" s="26" t="s">
        <v>270</v>
      </c>
      <c r="J8" s="55" t="n">
        <f aca="false">IF(A8="","",SUMIF(주문관리!$O:$O,A8,주문관리!$K:$K))</f>
        <v>0</v>
      </c>
      <c r="K8" s="42" t="s">
        <v>251</v>
      </c>
      <c r="L8" s="26"/>
    </row>
    <row r="9" customFormat="false" ht="15" hidden="false" customHeight="true" outlineLevel="0" collapsed="false">
      <c r="A9" s="21"/>
      <c r="B9" s="21"/>
      <c r="C9" s="21"/>
      <c r="D9" s="21"/>
      <c r="E9" s="23"/>
      <c r="F9" s="22"/>
      <c r="G9" s="22"/>
      <c r="H9" s="65"/>
      <c r="I9" s="21"/>
      <c r="J9" s="54" t="str">
        <f aca="false">IF(A9="","",SUMIF(주문관리!$O:$O,A9,주문관리!$K:$K))</f>
        <v/>
      </c>
      <c r="K9" s="25"/>
      <c r="L9" s="21"/>
    </row>
    <row r="10" customFormat="false" ht="15" hidden="false" customHeight="true" outlineLevel="0" collapsed="false">
      <c r="A10" s="26"/>
      <c r="B10" s="26"/>
      <c r="C10" s="26"/>
      <c r="D10" s="26"/>
      <c r="E10" s="28"/>
      <c r="F10" s="27"/>
      <c r="G10" s="27"/>
      <c r="H10" s="66"/>
      <c r="I10" s="26"/>
      <c r="J10" s="55" t="str">
        <f aca="false">IF(A10="","",SUMIF(주문관리!$O:$O,A10,주문관리!$K:$K))</f>
        <v/>
      </c>
      <c r="K10" s="42"/>
      <c r="L10" s="26"/>
    </row>
    <row r="11" customFormat="false" ht="15" hidden="false" customHeight="true" outlineLevel="0" collapsed="false">
      <c r="A11" s="21"/>
      <c r="B11" s="21"/>
      <c r="C11" s="21"/>
      <c r="D11" s="21"/>
      <c r="E11" s="23"/>
      <c r="F11" s="22"/>
      <c r="G11" s="22"/>
      <c r="H11" s="65"/>
      <c r="I11" s="21"/>
      <c r="J11" s="54" t="str">
        <f aca="false">IF(A11="","",SUMIF(주문관리!$O:$O,A11,주문관리!$K:$K))</f>
        <v/>
      </c>
      <c r="K11" s="25"/>
      <c r="L11" s="21"/>
    </row>
    <row r="12" customFormat="false" ht="15" hidden="false" customHeight="true" outlineLevel="0" collapsed="false">
      <c r="A12" s="26"/>
      <c r="B12" s="26"/>
      <c r="C12" s="26"/>
      <c r="D12" s="26"/>
      <c r="E12" s="28"/>
      <c r="F12" s="27"/>
      <c r="G12" s="27"/>
      <c r="H12" s="66"/>
      <c r="I12" s="26"/>
      <c r="J12" s="55" t="str">
        <f aca="false">IF(A12="","",SUMIF(주문관리!$O:$O,A12,주문관리!$K:$K))</f>
        <v/>
      </c>
      <c r="K12" s="42"/>
      <c r="L12" s="26"/>
    </row>
    <row r="13" customFormat="false" ht="15" hidden="false" customHeight="true" outlineLevel="0" collapsed="false">
      <c r="A13" s="21"/>
      <c r="B13" s="21"/>
      <c r="C13" s="21"/>
      <c r="D13" s="21"/>
      <c r="E13" s="23"/>
      <c r="F13" s="22"/>
      <c r="G13" s="22"/>
      <c r="H13" s="65"/>
      <c r="I13" s="21"/>
      <c r="J13" s="54" t="str">
        <f aca="false">IF(A13="","",SUMIF(주문관리!$O:$O,A13,주문관리!$K:$K))</f>
        <v/>
      </c>
      <c r="K13" s="25"/>
      <c r="L13" s="21"/>
    </row>
    <row r="14" customFormat="false" ht="15" hidden="false" customHeight="true" outlineLevel="0" collapsed="false">
      <c r="A14" s="26"/>
      <c r="B14" s="26"/>
      <c r="C14" s="26"/>
      <c r="D14" s="26"/>
      <c r="E14" s="28"/>
      <c r="F14" s="27"/>
      <c r="G14" s="27"/>
      <c r="H14" s="66"/>
      <c r="I14" s="26"/>
      <c r="J14" s="55" t="str">
        <f aca="false">IF(A14="","",SUMIF(주문관리!$O:$O,A14,주문관리!$K:$K))</f>
        <v/>
      </c>
      <c r="K14" s="42"/>
      <c r="L14" s="26"/>
    </row>
    <row r="15" customFormat="false" ht="15" hidden="false" customHeight="true" outlineLevel="0" collapsed="false">
      <c r="A15" s="21"/>
      <c r="B15" s="21"/>
      <c r="C15" s="21"/>
      <c r="D15" s="21"/>
      <c r="E15" s="23"/>
      <c r="F15" s="22"/>
      <c r="G15" s="22"/>
      <c r="H15" s="65"/>
      <c r="I15" s="21"/>
      <c r="J15" s="54" t="str">
        <f aca="false">IF(A15="","",SUMIF(주문관리!$O:$O,A15,주문관리!$K:$K))</f>
        <v/>
      </c>
      <c r="K15" s="25"/>
      <c r="L15" s="21"/>
    </row>
    <row r="16" customFormat="false" ht="15" hidden="false" customHeight="true" outlineLevel="0" collapsed="false">
      <c r="A16" s="26"/>
      <c r="B16" s="26"/>
      <c r="C16" s="26"/>
      <c r="D16" s="26"/>
      <c r="E16" s="28"/>
      <c r="F16" s="27"/>
      <c r="G16" s="27"/>
      <c r="H16" s="66"/>
      <c r="I16" s="26"/>
      <c r="J16" s="55" t="str">
        <f aca="false">IF(A16="","",SUMIF(주문관리!$O:$O,A16,주문관리!$K:$K))</f>
        <v/>
      </c>
      <c r="K16" s="42"/>
      <c r="L16" s="26"/>
    </row>
    <row r="17" customFormat="false" ht="15" hidden="false" customHeight="true" outlineLevel="0" collapsed="false">
      <c r="A17" s="21"/>
      <c r="B17" s="21"/>
      <c r="C17" s="21"/>
      <c r="D17" s="21"/>
      <c r="E17" s="23"/>
      <c r="F17" s="22"/>
      <c r="G17" s="22"/>
      <c r="H17" s="65"/>
      <c r="I17" s="21"/>
      <c r="J17" s="54" t="str">
        <f aca="false">IF(A17="","",SUMIF(주문관리!$O:$O,A17,주문관리!$K:$K))</f>
        <v/>
      </c>
      <c r="K17" s="25"/>
      <c r="L17" s="21"/>
    </row>
    <row r="18" customFormat="false" ht="15" hidden="false" customHeight="true" outlineLevel="0" collapsed="false">
      <c r="A18" s="26"/>
      <c r="B18" s="26"/>
      <c r="C18" s="26"/>
      <c r="D18" s="26"/>
      <c r="E18" s="28"/>
      <c r="F18" s="27"/>
      <c r="G18" s="27"/>
      <c r="H18" s="66"/>
      <c r="I18" s="26"/>
      <c r="J18" s="55" t="str">
        <f aca="false">IF(A18="","",SUMIF(주문관리!$O:$O,A18,주문관리!$K:$K))</f>
        <v/>
      </c>
      <c r="K18" s="42"/>
      <c r="L18" s="26"/>
    </row>
    <row r="19" customFormat="false" ht="15" hidden="false" customHeight="true" outlineLevel="0" collapsed="false">
      <c r="A19" s="21"/>
      <c r="B19" s="21"/>
      <c r="C19" s="21"/>
      <c r="D19" s="21"/>
      <c r="E19" s="23"/>
      <c r="F19" s="22"/>
      <c r="G19" s="22"/>
      <c r="H19" s="65"/>
      <c r="I19" s="21"/>
      <c r="J19" s="54" t="str">
        <f aca="false">IF(A19="","",SUMIF(주문관리!$O:$O,A19,주문관리!$K:$K))</f>
        <v/>
      </c>
      <c r="K19" s="25"/>
      <c r="L19" s="21"/>
    </row>
    <row r="20" customFormat="false" ht="15" hidden="false" customHeight="true" outlineLevel="0" collapsed="false">
      <c r="A20" s="26"/>
      <c r="B20" s="26"/>
      <c r="C20" s="26"/>
      <c r="D20" s="26"/>
      <c r="E20" s="28"/>
      <c r="F20" s="27"/>
      <c r="G20" s="27"/>
      <c r="H20" s="66"/>
      <c r="I20" s="26"/>
      <c r="J20" s="55" t="str">
        <f aca="false">IF(A20="","",SUMIF(주문관리!$O:$O,A20,주문관리!$K:$K))</f>
        <v/>
      </c>
      <c r="K20" s="42"/>
      <c r="L20" s="26"/>
    </row>
    <row r="21" customFormat="false" ht="15" hidden="false" customHeight="true" outlineLevel="0" collapsed="false">
      <c r="A21" s="21"/>
      <c r="B21" s="21"/>
      <c r="C21" s="21"/>
      <c r="D21" s="21"/>
      <c r="E21" s="23"/>
      <c r="F21" s="22"/>
      <c r="G21" s="22"/>
      <c r="H21" s="65"/>
      <c r="I21" s="21"/>
      <c r="J21" s="54" t="str">
        <f aca="false">IF(A21="","",SUMIF(주문관리!$O:$O,A21,주문관리!$K:$K))</f>
        <v/>
      </c>
      <c r="K21" s="25"/>
      <c r="L21" s="21"/>
    </row>
    <row r="22" customFormat="false" ht="15" hidden="false" customHeight="true" outlineLevel="0" collapsed="false">
      <c r="A22" s="26"/>
      <c r="B22" s="26"/>
      <c r="C22" s="26"/>
      <c r="D22" s="26"/>
      <c r="E22" s="28"/>
      <c r="F22" s="27"/>
      <c r="G22" s="27"/>
      <c r="H22" s="66"/>
      <c r="I22" s="26"/>
      <c r="J22" s="55" t="str">
        <f aca="false">IF(A22="","",SUMIF(주문관리!$O:$O,A22,주문관리!$K:$K))</f>
        <v/>
      </c>
      <c r="K22" s="42"/>
      <c r="L22" s="26"/>
    </row>
    <row r="23" customFormat="false" ht="15" hidden="false" customHeight="true" outlineLevel="0" collapsed="false">
      <c r="A23" s="21"/>
      <c r="B23" s="21"/>
      <c r="C23" s="21"/>
      <c r="D23" s="21"/>
      <c r="E23" s="23"/>
      <c r="F23" s="22"/>
      <c r="G23" s="22"/>
      <c r="H23" s="65"/>
      <c r="I23" s="21"/>
      <c r="J23" s="54" t="str">
        <f aca="false">IF(A23="","",SUMIF(주문관리!$O:$O,A23,주문관리!$K:$K))</f>
        <v/>
      </c>
      <c r="K23" s="25"/>
      <c r="L23" s="21"/>
    </row>
    <row r="24" customFormat="false" ht="15" hidden="false" customHeight="true" outlineLevel="0" collapsed="false">
      <c r="A24" s="26"/>
      <c r="B24" s="26"/>
      <c r="C24" s="26"/>
      <c r="D24" s="26"/>
      <c r="E24" s="28"/>
      <c r="F24" s="27"/>
      <c r="G24" s="27"/>
      <c r="H24" s="66"/>
      <c r="I24" s="26"/>
      <c r="J24" s="55" t="str">
        <f aca="false">IF(A24="","",SUMIF(주문관리!$O:$O,A24,주문관리!$K:$K))</f>
        <v/>
      </c>
      <c r="K24" s="42"/>
      <c r="L24" s="26"/>
    </row>
    <row r="25" customFormat="false" ht="15" hidden="false" customHeight="true" outlineLevel="0" collapsed="false">
      <c r="A25" s="21"/>
      <c r="B25" s="21"/>
      <c r="C25" s="21"/>
      <c r="D25" s="21"/>
      <c r="E25" s="23"/>
      <c r="F25" s="22"/>
      <c r="G25" s="22"/>
      <c r="H25" s="65"/>
      <c r="I25" s="21"/>
      <c r="J25" s="54" t="str">
        <f aca="false">IF(A25="","",SUMIF(주문관리!$O:$O,A25,주문관리!$K:$K))</f>
        <v/>
      </c>
      <c r="K25" s="25"/>
      <c r="L25" s="21"/>
    </row>
    <row r="26" customFormat="false" ht="15" hidden="false" customHeight="true" outlineLevel="0" collapsed="false">
      <c r="A26" s="26"/>
      <c r="B26" s="26"/>
      <c r="C26" s="26"/>
      <c r="D26" s="26"/>
      <c r="E26" s="28"/>
      <c r="F26" s="27"/>
      <c r="G26" s="27"/>
      <c r="H26" s="66"/>
      <c r="I26" s="26"/>
      <c r="J26" s="55" t="str">
        <f aca="false">IF(A26="","",SUMIF(주문관리!$O:$O,A26,주문관리!$K:$K))</f>
        <v/>
      </c>
      <c r="K26" s="42"/>
      <c r="L26" s="26"/>
    </row>
    <row r="27" customFormat="false" ht="15" hidden="false" customHeight="true" outlineLevel="0" collapsed="false">
      <c r="A27" s="21"/>
      <c r="B27" s="21"/>
      <c r="C27" s="21"/>
      <c r="D27" s="21"/>
      <c r="E27" s="23"/>
      <c r="F27" s="22"/>
      <c r="G27" s="22"/>
      <c r="H27" s="65"/>
      <c r="I27" s="21"/>
      <c r="J27" s="54" t="str">
        <f aca="false">IF(A27="","",SUMIF(주문관리!$O:$O,A27,주문관리!$K:$K))</f>
        <v/>
      </c>
      <c r="K27" s="25"/>
      <c r="L27" s="21"/>
    </row>
    <row r="28" customFormat="false" ht="15" hidden="false" customHeight="true" outlineLevel="0" collapsed="false">
      <c r="A28" s="26"/>
      <c r="B28" s="26"/>
      <c r="C28" s="26"/>
      <c r="D28" s="26"/>
      <c r="E28" s="28"/>
      <c r="F28" s="27"/>
      <c r="G28" s="27"/>
      <c r="H28" s="66"/>
      <c r="I28" s="26"/>
      <c r="J28" s="55" t="str">
        <f aca="false">IF(A28="","",SUMIF(주문관리!$O:$O,A28,주문관리!$K:$K))</f>
        <v/>
      </c>
      <c r="K28" s="42"/>
      <c r="L28" s="26"/>
    </row>
    <row r="29" customFormat="false" ht="15" hidden="false" customHeight="true" outlineLevel="0" collapsed="false">
      <c r="A29" s="21"/>
      <c r="B29" s="21"/>
      <c r="C29" s="21"/>
      <c r="D29" s="21"/>
      <c r="E29" s="23"/>
      <c r="F29" s="22"/>
      <c r="G29" s="22"/>
      <c r="H29" s="65"/>
      <c r="I29" s="21"/>
      <c r="J29" s="54" t="str">
        <f aca="false">IF(A29="","",SUMIF(주문관리!$O:$O,A29,주문관리!$K:$K))</f>
        <v/>
      </c>
      <c r="K29" s="25"/>
      <c r="L29" s="21"/>
    </row>
    <row r="30" customFormat="false" ht="15" hidden="false" customHeight="true" outlineLevel="0" collapsed="false">
      <c r="A30" s="26"/>
      <c r="B30" s="26"/>
      <c r="C30" s="26"/>
      <c r="D30" s="26"/>
      <c r="E30" s="28"/>
      <c r="F30" s="27"/>
      <c r="G30" s="27"/>
      <c r="H30" s="66"/>
      <c r="I30" s="26"/>
      <c r="J30" s="55" t="str">
        <f aca="false">IF(A30="","",SUMIF(주문관리!$O:$O,A30,주문관리!$K:$K))</f>
        <v/>
      </c>
      <c r="K30" s="42"/>
      <c r="L30" s="26"/>
    </row>
    <row r="31" customFormat="false" ht="15" hidden="false" customHeight="true" outlineLevel="0" collapsed="false">
      <c r="A31" s="21"/>
      <c r="B31" s="21"/>
      <c r="C31" s="21"/>
      <c r="D31" s="21"/>
      <c r="E31" s="23"/>
      <c r="F31" s="22"/>
      <c r="G31" s="22"/>
      <c r="H31" s="65"/>
      <c r="I31" s="21"/>
      <c r="J31" s="54" t="str">
        <f aca="false">IF(A31="","",SUMIF(주문관리!$O:$O,A31,주문관리!$K:$K))</f>
        <v/>
      </c>
      <c r="K31" s="25"/>
      <c r="L31" s="21"/>
    </row>
    <row r="32" customFormat="false" ht="15" hidden="false" customHeight="true" outlineLevel="0" collapsed="false">
      <c r="A32" s="26"/>
      <c r="B32" s="26"/>
      <c r="C32" s="26"/>
      <c r="D32" s="26"/>
      <c r="E32" s="28"/>
      <c r="F32" s="27"/>
      <c r="G32" s="27"/>
      <c r="H32" s="66"/>
      <c r="I32" s="26"/>
      <c r="J32" s="55" t="str">
        <f aca="false">IF(A32="","",SUMIF(주문관리!$O:$O,A32,주문관리!$K:$K))</f>
        <v/>
      </c>
      <c r="K32" s="42"/>
      <c r="L32" s="26"/>
    </row>
    <row r="33" customFormat="false" ht="15" hidden="false" customHeight="true" outlineLevel="0" collapsed="false">
      <c r="A33" s="21"/>
      <c r="B33" s="21"/>
      <c r="C33" s="21"/>
      <c r="D33" s="21"/>
      <c r="E33" s="23"/>
      <c r="F33" s="22"/>
      <c r="G33" s="22"/>
      <c r="H33" s="65"/>
      <c r="I33" s="21"/>
      <c r="J33" s="54" t="str">
        <f aca="false">IF(A33="","",SUMIF(주문관리!$O:$O,A33,주문관리!$K:$K))</f>
        <v/>
      </c>
      <c r="K33" s="25"/>
      <c r="L33" s="21"/>
    </row>
    <row r="34" customFormat="false" ht="15" hidden="false" customHeight="true" outlineLevel="0" collapsed="false">
      <c r="A34" s="26"/>
      <c r="B34" s="26"/>
      <c r="C34" s="26"/>
      <c r="D34" s="26"/>
      <c r="E34" s="28"/>
      <c r="F34" s="27"/>
      <c r="G34" s="27"/>
      <c r="H34" s="66"/>
      <c r="I34" s="26"/>
      <c r="J34" s="55" t="str">
        <f aca="false">IF(A34="","",SUMIF(주문관리!$O:$O,A34,주문관리!$K:$K))</f>
        <v/>
      </c>
      <c r="K34" s="42"/>
      <c r="L34" s="26"/>
    </row>
  </sheetData>
  <mergeCells count="2">
    <mergeCell ref="A1:L1"/>
    <mergeCell ref="A2:L2"/>
  </mergeCells>
  <dataValidations count="3">
    <dataValidation allowBlank="true" errorStyle="stop" operator="between" showDropDown="false" showErrorMessage="false" showInputMessage="false" sqref="F5:F34" type="list">
      <formula1>"공급사,제휴,물류,기타"</formula1>
      <formula2>0</formula2>
    </dataValidation>
    <dataValidation allowBlank="true" errorStyle="stop" operator="between" showDropDown="false" showErrorMessage="false" showInputMessage="false" sqref="G5:G34" type="list">
      <formula1>"월정산,주정산,건별정산,선결제"</formula1>
      <formula2>0</formula2>
    </dataValidation>
    <dataValidation allowBlank="true" errorStyle="stop" operator="between" showDropDown="false" showErrorMessage="false" showInputMessage="false" sqref="K5:K34" type="list">
      <formula1>"정상,중단,종료"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2"/>
    <col collapsed="false" customWidth="true" hidden="false" outlineLevel="0" max="3" min="3" style="1" width="9"/>
    <col collapsed="false" customWidth="true" hidden="false" outlineLevel="0" max="4" min="4" style="1" width="24"/>
    <col collapsed="false" customWidth="true" hidden="false" outlineLevel="0" max="5" min="5" style="1" width="10"/>
    <col collapsed="false" customWidth="true" hidden="false" outlineLevel="0" max="6" min="6" style="1" width="9"/>
    <col collapsed="false" customWidth="true" hidden="false" outlineLevel="0" max="7" min="7" style="1" width="22"/>
    <col collapsed="false" customWidth="true" hidden="false" outlineLevel="0" max="8" min="8" style="1" width="10"/>
    <col collapsed="false" customWidth="true" hidden="false" outlineLevel="0" max="9" min="9" style="1" width="9"/>
    <col collapsed="false" customWidth="true" hidden="false" outlineLevel="0" max="10" min="10" style="1" width="12"/>
    <col collapsed="false" customWidth="true" hidden="false" outlineLevel="0" max="11" min="11" style="1" width="9"/>
  </cols>
  <sheetData>
    <row r="1" customFormat="false" ht="24" hidden="false" customHeight="true" outlineLevel="0" collapsed="false">
      <c r="A1" s="18" t="s">
        <v>271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customFormat="false" ht="15.75" hidden="false" customHeight="true" outlineLevel="0" collapsed="false">
      <c r="A2" s="19" t="s">
        <v>272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4" customFormat="false" ht="15" hidden="false" customHeight="true" outlineLevel="0" collapsed="false">
      <c r="A4" s="20" t="s">
        <v>273</v>
      </c>
      <c r="B4" s="20" t="s">
        <v>274</v>
      </c>
      <c r="C4" s="20" t="s">
        <v>275</v>
      </c>
      <c r="D4" s="20" t="s">
        <v>276</v>
      </c>
      <c r="E4" s="20" t="s">
        <v>277</v>
      </c>
      <c r="F4" s="20" t="s">
        <v>24</v>
      </c>
      <c r="G4" s="20" t="s">
        <v>278</v>
      </c>
      <c r="H4" s="20" t="s">
        <v>279</v>
      </c>
      <c r="I4" s="20" t="s">
        <v>280</v>
      </c>
      <c r="J4" s="20" t="s">
        <v>281</v>
      </c>
      <c r="K4" s="20" t="s">
        <v>282</v>
      </c>
    </row>
    <row r="5" customFormat="false" ht="15" hidden="false" customHeight="true" outlineLevel="0" collapsed="false">
      <c r="A5" s="21" t="s">
        <v>283</v>
      </c>
      <c r="B5" s="21" t="s">
        <v>220</v>
      </c>
      <c r="C5" s="22" t="s">
        <v>284</v>
      </c>
      <c r="D5" s="25" t="s">
        <v>285</v>
      </c>
      <c r="E5" s="22" t="s">
        <v>39</v>
      </c>
      <c r="F5" s="21" t="s">
        <v>37</v>
      </c>
      <c r="G5" s="25" t="s">
        <v>286</v>
      </c>
      <c r="H5" s="22" t="s">
        <v>287</v>
      </c>
      <c r="I5" s="22" t="s">
        <v>288</v>
      </c>
      <c r="J5" s="23" t="s">
        <v>220</v>
      </c>
      <c r="K5" s="22" t="s">
        <v>289</v>
      </c>
    </row>
    <row r="6" customFormat="false" ht="15" hidden="false" customHeight="true" outlineLevel="0" collapsed="false">
      <c r="A6" s="26" t="s">
        <v>290</v>
      </c>
      <c r="B6" s="26" t="s">
        <v>226</v>
      </c>
      <c r="C6" s="27" t="s">
        <v>291</v>
      </c>
      <c r="D6" s="42" t="s">
        <v>292</v>
      </c>
      <c r="E6" s="27" t="s">
        <v>49</v>
      </c>
      <c r="F6" s="26" t="s">
        <v>47</v>
      </c>
      <c r="G6" s="42" t="s">
        <v>293</v>
      </c>
      <c r="H6" s="27" t="s">
        <v>287</v>
      </c>
      <c r="I6" s="27" t="s">
        <v>288</v>
      </c>
      <c r="J6" s="28" t="s">
        <v>294</v>
      </c>
      <c r="K6" s="27" t="s">
        <v>289</v>
      </c>
    </row>
    <row r="7" customFormat="false" ht="15" hidden="false" customHeight="true" outlineLevel="0" collapsed="false">
      <c r="A7" s="21" t="s">
        <v>295</v>
      </c>
      <c r="B7" s="21" t="s">
        <v>230</v>
      </c>
      <c r="C7" s="22" t="s">
        <v>284</v>
      </c>
      <c r="D7" s="25" t="s">
        <v>296</v>
      </c>
      <c r="E7" s="22" t="s">
        <v>56</v>
      </c>
      <c r="F7" s="21" t="s">
        <v>54</v>
      </c>
      <c r="G7" s="25" t="s">
        <v>297</v>
      </c>
      <c r="H7" s="22" t="s">
        <v>298</v>
      </c>
      <c r="I7" s="21"/>
      <c r="J7" s="23"/>
      <c r="K7" s="22" t="s">
        <v>299</v>
      </c>
    </row>
    <row r="8" customFormat="false" ht="15" hidden="false" customHeight="true" outlineLevel="0" collapsed="false">
      <c r="A8" s="26" t="s">
        <v>300</v>
      </c>
      <c r="B8" s="26" t="s">
        <v>301</v>
      </c>
      <c r="C8" s="27" t="s">
        <v>302</v>
      </c>
      <c r="D8" s="28" t="s">
        <v>303</v>
      </c>
      <c r="E8" s="27" t="s">
        <v>288</v>
      </c>
      <c r="F8" s="26"/>
      <c r="G8" s="42" t="s">
        <v>304</v>
      </c>
      <c r="H8" s="26" t="s">
        <v>148</v>
      </c>
      <c r="I8" s="27" t="s">
        <v>288</v>
      </c>
      <c r="J8" s="28" t="s">
        <v>301</v>
      </c>
      <c r="K8" s="27" t="s">
        <v>289</v>
      </c>
    </row>
    <row r="9" customFormat="false" ht="15" hidden="false" customHeight="true" outlineLevel="0" collapsed="false">
      <c r="A9" s="21" t="s">
        <v>305</v>
      </c>
      <c r="B9" s="21" t="s">
        <v>306</v>
      </c>
      <c r="C9" s="21" t="s">
        <v>307</v>
      </c>
      <c r="D9" s="25" t="s">
        <v>308</v>
      </c>
      <c r="E9" s="22" t="s">
        <v>288</v>
      </c>
      <c r="F9" s="21"/>
      <c r="G9" s="23" t="s">
        <v>309</v>
      </c>
      <c r="H9" s="21" t="s">
        <v>148</v>
      </c>
      <c r="I9" s="22" t="s">
        <v>288</v>
      </c>
      <c r="J9" s="23" t="s">
        <v>306</v>
      </c>
      <c r="K9" s="22" t="s">
        <v>289</v>
      </c>
    </row>
    <row r="10" customFormat="false" ht="15" hidden="false" customHeight="true" outlineLevel="0" collapsed="false">
      <c r="A10" s="26"/>
      <c r="B10" s="26"/>
      <c r="C10" s="27"/>
      <c r="D10" s="28"/>
      <c r="E10" s="26"/>
      <c r="F10" s="26"/>
      <c r="G10" s="28"/>
      <c r="H10" s="26"/>
      <c r="I10" s="26"/>
      <c r="J10" s="28"/>
      <c r="K10" s="27"/>
    </row>
    <row r="11" customFormat="false" ht="15" hidden="false" customHeight="true" outlineLevel="0" collapsed="false">
      <c r="A11" s="21"/>
      <c r="B11" s="21"/>
      <c r="C11" s="21"/>
      <c r="D11" s="23"/>
      <c r="E11" s="21"/>
      <c r="F11" s="21"/>
      <c r="G11" s="23"/>
      <c r="H11" s="21"/>
      <c r="I11" s="21"/>
      <c r="J11" s="23"/>
      <c r="K11" s="22"/>
    </row>
    <row r="12" customFormat="false" ht="15" hidden="false" customHeight="true" outlineLevel="0" collapsed="false">
      <c r="A12" s="26"/>
      <c r="B12" s="26"/>
      <c r="C12" s="27"/>
      <c r="D12" s="28"/>
      <c r="E12" s="26"/>
      <c r="F12" s="26"/>
      <c r="G12" s="28"/>
      <c r="H12" s="26"/>
      <c r="I12" s="26"/>
      <c r="J12" s="28"/>
      <c r="K12" s="27"/>
    </row>
    <row r="13" customFormat="false" ht="15" hidden="false" customHeight="true" outlineLevel="0" collapsed="false">
      <c r="A13" s="21"/>
      <c r="B13" s="21"/>
      <c r="C13" s="21"/>
      <c r="D13" s="23"/>
      <c r="E13" s="21"/>
      <c r="F13" s="21"/>
      <c r="G13" s="23"/>
      <c r="H13" s="21"/>
      <c r="I13" s="21"/>
      <c r="J13" s="23"/>
      <c r="K13" s="22"/>
    </row>
    <row r="14" customFormat="false" ht="15" hidden="false" customHeight="true" outlineLevel="0" collapsed="false">
      <c r="A14" s="26"/>
      <c r="B14" s="26"/>
      <c r="C14" s="27"/>
      <c r="D14" s="28"/>
      <c r="E14" s="26"/>
      <c r="F14" s="26"/>
      <c r="G14" s="28"/>
      <c r="H14" s="26"/>
      <c r="I14" s="26"/>
      <c r="J14" s="28"/>
      <c r="K14" s="27"/>
    </row>
    <row r="15" customFormat="false" ht="15" hidden="false" customHeight="true" outlineLevel="0" collapsed="false">
      <c r="A15" s="21"/>
      <c r="B15" s="21"/>
      <c r="C15" s="21"/>
      <c r="D15" s="23"/>
      <c r="E15" s="21"/>
      <c r="F15" s="21"/>
      <c r="G15" s="23"/>
      <c r="H15" s="21"/>
      <c r="I15" s="21"/>
      <c r="J15" s="23"/>
      <c r="K15" s="22"/>
    </row>
    <row r="16" customFormat="false" ht="15" hidden="false" customHeight="true" outlineLevel="0" collapsed="false">
      <c r="A16" s="26"/>
      <c r="B16" s="26"/>
      <c r="C16" s="27"/>
      <c r="D16" s="28"/>
      <c r="E16" s="26"/>
      <c r="F16" s="26"/>
      <c r="G16" s="28"/>
      <c r="H16" s="26"/>
      <c r="I16" s="26"/>
      <c r="J16" s="28"/>
      <c r="K16" s="27"/>
    </row>
    <row r="17" customFormat="false" ht="15" hidden="false" customHeight="true" outlineLevel="0" collapsed="false">
      <c r="A17" s="21"/>
      <c r="B17" s="21"/>
      <c r="C17" s="21"/>
      <c r="D17" s="23"/>
      <c r="E17" s="21"/>
      <c r="F17" s="21"/>
      <c r="G17" s="23"/>
      <c r="H17" s="21"/>
      <c r="I17" s="21"/>
      <c r="J17" s="23"/>
      <c r="K17" s="22"/>
    </row>
    <row r="18" customFormat="false" ht="15" hidden="false" customHeight="true" outlineLevel="0" collapsed="false">
      <c r="A18" s="26"/>
      <c r="B18" s="26"/>
      <c r="C18" s="27"/>
      <c r="D18" s="28"/>
      <c r="E18" s="26"/>
      <c r="F18" s="26"/>
      <c r="G18" s="28"/>
      <c r="H18" s="26"/>
      <c r="I18" s="26"/>
      <c r="J18" s="28"/>
      <c r="K18" s="27"/>
    </row>
    <row r="19" customFormat="false" ht="15" hidden="false" customHeight="true" outlineLevel="0" collapsed="false">
      <c r="A19" s="21"/>
      <c r="B19" s="21"/>
      <c r="C19" s="21"/>
      <c r="D19" s="23"/>
      <c r="E19" s="21"/>
      <c r="F19" s="21"/>
      <c r="G19" s="23"/>
      <c r="H19" s="21"/>
      <c r="I19" s="21"/>
      <c r="J19" s="23"/>
      <c r="K19" s="22"/>
    </row>
    <row r="20" customFormat="false" ht="15" hidden="false" customHeight="true" outlineLevel="0" collapsed="false">
      <c r="A20" s="26"/>
      <c r="B20" s="26"/>
      <c r="C20" s="27"/>
      <c r="D20" s="28"/>
      <c r="E20" s="26"/>
      <c r="F20" s="26"/>
      <c r="G20" s="28"/>
      <c r="H20" s="26"/>
      <c r="I20" s="26"/>
      <c r="J20" s="28"/>
      <c r="K20" s="27"/>
    </row>
    <row r="21" customFormat="false" ht="15" hidden="false" customHeight="true" outlineLevel="0" collapsed="false">
      <c r="A21" s="21"/>
      <c r="B21" s="21"/>
      <c r="C21" s="21"/>
      <c r="D21" s="23"/>
      <c r="E21" s="21"/>
      <c r="F21" s="21"/>
      <c r="G21" s="23"/>
      <c r="H21" s="21"/>
      <c r="I21" s="21"/>
      <c r="J21" s="23"/>
      <c r="K21" s="22"/>
    </row>
    <row r="22" customFormat="false" ht="15" hidden="false" customHeight="true" outlineLevel="0" collapsed="false">
      <c r="A22" s="26"/>
      <c r="B22" s="26"/>
      <c r="C22" s="27"/>
      <c r="D22" s="28"/>
      <c r="E22" s="26"/>
      <c r="F22" s="26"/>
      <c r="G22" s="28"/>
      <c r="H22" s="26"/>
      <c r="I22" s="26"/>
      <c r="J22" s="28"/>
      <c r="K22" s="27"/>
    </row>
    <row r="23" customFormat="false" ht="15" hidden="false" customHeight="true" outlineLevel="0" collapsed="false">
      <c r="A23" s="21"/>
      <c r="B23" s="21"/>
      <c r="C23" s="21"/>
      <c r="D23" s="23"/>
      <c r="E23" s="21"/>
      <c r="F23" s="21"/>
      <c r="G23" s="23"/>
      <c r="H23" s="21"/>
      <c r="I23" s="21"/>
      <c r="J23" s="23"/>
      <c r="K23" s="22"/>
    </row>
    <row r="24" customFormat="false" ht="15" hidden="false" customHeight="true" outlineLevel="0" collapsed="false">
      <c r="A24" s="26"/>
      <c r="B24" s="26"/>
      <c r="C24" s="27"/>
      <c r="D24" s="28"/>
      <c r="E24" s="26"/>
      <c r="F24" s="26"/>
      <c r="G24" s="28"/>
      <c r="H24" s="26"/>
      <c r="I24" s="26"/>
      <c r="J24" s="28"/>
      <c r="K24" s="27"/>
    </row>
    <row r="25" customFormat="false" ht="15" hidden="false" customHeight="true" outlineLevel="0" collapsed="false">
      <c r="A25" s="21"/>
      <c r="B25" s="21"/>
      <c r="C25" s="21"/>
      <c r="D25" s="23"/>
      <c r="E25" s="21"/>
      <c r="F25" s="21"/>
      <c r="G25" s="23"/>
      <c r="H25" s="21"/>
      <c r="I25" s="21"/>
      <c r="J25" s="23"/>
      <c r="K25" s="22"/>
    </row>
    <row r="26" customFormat="false" ht="15" hidden="false" customHeight="true" outlineLevel="0" collapsed="false">
      <c r="A26" s="26"/>
      <c r="B26" s="26"/>
      <c r="C26" s="27"/>
      <c r="D26" s="28"/>
      <c r="E26" s="26"/>
      <c r="F26" s="26"/>
      <c r="G26" s="28"/>
      <c r="H26" s="26"/>
      <c r="I26" s="26"/>
      <c r="J26" s="28"/>
      <c r="K26" s="27"/>
    </row>
    <row r="27" customFormat="false" ht="15" hidden="false" customHeight="true" outlineLevel="0" collapsed="false">
      <c r="A27" s="21"/>
      <c r="B27" s="21"/>
      <c r="C27" s="21"/>
      <c r="D27" s="23"/>
      <c r="E27" s="21"/>
      <c r="F27" s="21"/>
      <c r="G27" s="23"/>
      <c r="H27" s="21"/>
      <c r="I27" s="21"/>
      <c r="J27" s="23"/>
      <c r="K27" s="22"/>
    </row>
    <row r="28" customFormat="false" ht="15" hidden="false" customHeight="true" outlineLevel="0" collapsed="false">
      <c r="A28" s="26"/>
      <c r="B28" s="26"/>
      <c r="C28" s="27"/>
      <c r="D28" s="28"/>
      <c r="E28" s="26"/>
      <c r="F28" s="26"/>
      <c r="G28" s="28"/>
      <c r="H28" s="26"/>
      <c r="I28" s="26"/>
      <c r="J28" s="28"/>
      <c r="K28" s="27"/>
    </row>
    <row r="29" customFormat="false" ht="15" hidden="false" customHeight="true" outlineLevel="0" collapsed="false">
      <c r="A29" s="21"/>
      <c r="B29" s="21"/>
      <c r="C29" s="21"/>
      <c r="D29" s="23"/>
      <c r="E29" s="21"/>
      <c r="F29" s="21"/>
      <c r="G29" s="23"/>
      <c r="H29" s="21"/>
      <c r="I29" s="21"/>
      <c r="J29" s="23"/>
      <c r="K29" s="22"/>
    </row>
    <row r="30" customFormat="false" ht="15" hidden="false" customHeight="true" outlineLevel="0" collapsed="false">
      <c r="A30" s="26"/>
      <c r="B30" s="26"/>
      <c r="C30" s="27"/>
      <c r="D30" s="28"/>
      <c r="E30" s="26"/>
      <c r="F30" s="26"/>
      <c r="G30" s="28"/>
      <c r="H30" s="26"/>
      <c r="I30" s="26"/>
      <c r="J30" s="28"/>
      <c r="K30" s="27"/>
    </row>
    <row r="31" customFormat="false" ht="15" hidden="false" customHeight="true" outlineLevel="0" collapsed="false">
      <c r="A31" s="21"/>
      <c r="B31" s="21"/>
      <c r="C31" s="21"/>
      <c r="D31" s="23"/>
      <c r="E31" s="21"/>
      <c r="F31" s="21"/>
      <c r="G31" s="23"/>
      <c r="H31" s="21"/>
      <c r="I31" s="21"/>
      <c r="J31" s="23"/>
      <c r="K31" s="22"/>
    </row>
    <row r="32" customFormat="false" ht="15" hidden="false" customHeight="true" outlineLevel="0" collapsed="false">
      <c r="A32" s="26"/>
      <c r="B32" s="26"/>
      <c r="C32" s="27"/>
      <c r="D32" s="28"/>
      <c r="E32" s="26"/>
      <c r="F32" s="26"/>
      <c r="G32" s="28"/>
      <c r="H32" s="26"/>
      <c r="I32" s="26"/>
      <c r="J32" s="28"/>
      <c r="K32" s="27"/>
    </row>
    <row r="33" customFormat="false" ht="15" hidden="false" customHeight="true" outlineLevel="0" collapsed="false">
      <c r="A33" s="21"/>
      <c r="B33" s="21"/>
      <c r="C33" s="21"/>
      <c r="D33" s="23"/>
      <c r="E33" s="21"/>
      <c r="F33" s="21"/>
      <c r="G33" s="23"/>
      <c r="H33" s="21"/>
      <c r="I33" s="21"/>
      <c r="J33" s="23"/>
      <c r="K33" s="22"/>
    </row>
    <row r="34" customFormat="false" ht="15" hidden="false" customHeight="true" outlineLevel="0" collapsed="false">
      <c r="A34" s="26"/>
      <c r="B34" s="26"/>
      <c r="C34" s="27"/>
      <c r="D34" s="28"/>
      <c r="E34" s="26"/>
      <c r="F34" s="26"/>
      <c r="G34" s="28"/>
      <c r="H34" s="26"/>
      <c r="I34" s="26"/>
      <c r="J34" s="28"/>
      <c r="K34" s="27"/>
    </row>
    <row r="35" customFormat="false" ht="15" hidden="false" customHeight="true" outlineLevel="0" collapsed="false">
      <c r="A35" s="21"/>
      <c r="B35" s="21"/>
      <c r="C35" s="21"/>
      <c r="D35" s="23"/>
      <c r="E35" s="21"/>
      <c r="F35" s="21"/>
      <c r="G35" s="23"/>
      <c r="H35" s="21"/>
      <c r="I35" s="21"/>
      <c r="J35" s="23"/>
      <c r="K35" s="22"/>
    </row>
    <row r="36" customFormat="false" ht="15" hidden="false" customHeight="true" outlineLevel="0" collapsed="false">
      <c r="A36" s="26"/>
      <c r="B36" s="26"/>
      <c r="C36" s="27"/>
      <c r="D36" s="28"/>
      <c r="E36" s="26"/>
      <c r="F36" s="26"/>
      <c r="G36" s="28"/>
      <c r="H36" s="26"/>
      <c r="I36" s="26"/>
      <c r="J36" s="28"/>
      <c r="K36" s="27"/>
    </row>
    <row r="37" customFormat="false" ht="15" hidden="false" customHeight="true" outlineLevel="0" collapsed="false">
      <c r="A37" s="21"/>
      <c r="B37" s="21"/>
      <c r="C37" s="21"/>
      <c r="D37" s="23"/>
      <c r="E37" s="21"/>
      <c r="F37" s="21"/>
      <c r="G37" s="23"/>
      <c r="H37" s="21"/>
      <c r="I37" s="21"/>
      <c r="J37" s="23"/>
      <c r="K37" s="22"/>
    </row>
    <row r="38" customFormat="false" ht="15" hidden="false" customHeight="true" outlineLevel="0" collapsed="false">
      <c r="A38" s="26"/>
      <c r="B38" s="26"/>
      <c r="C38" s="27"/>
      <c r="D38" s="28"/>
      <c r="E38" s="26"/>
      <c r="F38" s="26"/>
      <c r="G38" s="28"/>
      <c r="H38" s="26"/>
      <c r="I38" s="26"/>
      <c r="J38" s="28"/>
      <c r="K38" s="27"/>
    </row>
    <row r="39" customFormat="false" ht="15" hidden="false" customHeight="true" outlineLevel="0" collapsed="false">
      <c r="A39" s="21"/>
      <c r="B39" s="21"/>
      <c r="C39" s="21"/>
      <c r="D39" s="23"/>
      <c r="E39" s="21"/>
      <c r="F39" s="21"/>
      <c r="G39" s="23"/>
      <c r="H39" s="21"/>
      <c r="I39" s="21"/>
      <c r="J39" s="23"/>
      <c r="K39" s="22"/>
    </row>
    <row r="40" customFormat="false" ht="15" hidden="false" customHeight="true" outlineLevel="0" collapsed="false">
      <c r="A40" s="26"/>
      <c r="B40" s="26"/>
      <c r="C40" s="27"/>
      <c r="D40" s="28"/>
      <c r="E40" s="26"/>
      <c r="F40" s="26"/>
      <c r="G40" s="28"/>
      <c r="H40" s="26"/>
      <c r="I40" s="26"/>
      <c r="J40" s="28"/>
      <c r="K40" s="27"/>
    </row>
    <row r="41" customFormat="false" ht="15" hidden="false" customHeight="true" outlineLevel="0" collapsed="false">
      <c r="A41" s="21"/>
      <c r="B41" s="21"/>
      <c r="C41" s="21"/>
      <c r="D41" s="23"/>
      <c r="E41" s="21"/>
      <c r="F41" s="21"/>
      <c r="G41" s="23"/>
      <c r="H41" s="21"/>
      <c r="I41" s="21"/>
      <c r="J41" s="23"/>
      <c r="K41" s="22"/>
    </row>
    <row r="42" customFormat="false" ht="15" hidden="false" customHeight="true" outlineLevel="0" collapsed="false">
      <c r="A42" s="26"/>
      <c r="B42" s="26"/>
      <c r="C42" s="27"/>
      <c r="D42" s="28"/>
      <c r="E42" s="26"/>
      <c r="F42" s="26"/>
      <c r="G42" s="28"/>
      <c r="H42" s="26"/>
      <c r="I42" s="26"/>
      <c r="J42" s="28"/>
      <c r="K42" s="27"/>
    </row>
    <row r="43" customFormat="false" ht="15" hidden="false" customHeight="true" outlineLevel="0" collapsed="false">
      <c r="A43" s="21"/>
      <c r="B43" s="21"/>
      <c r="C43" s="21"/>
      <c r="D43" s="23"/>
      <c r="E43" s="21"/>
      <c r="F43" s="21"/>
      <c r="G43" s="23"/>
      <c r="H43" s="21"/>
      <c r="I43" s="21"/>
      <c r="J43" s="23"/>
      <c r="K43" s="22"/>
    </row>
    <row r="44" customFormat="false" ht="15" hidden="false" customHeight="true" outlineLevel="0" collapsed="false">
      <c r="A44" s="26"/>
      <c r="B44" s="26"/>
      <c r="C44" s="27"/>
      <c r="D44" s="28"/>
      <c r="E44" s="26"/>
      <c r="F44" s="26"/>
      <c r="G44" s="28"/>
      <c r="H44" s="26"/>
      <c r="I44" s="26"/>
      <c r="J44" s="28"/>
      <c r="K44" s="27"/>
    </row>
    <row r="45" customFormat="false" ht="15" hidden="false" customHeight="true" outlineLevel="0" collapsed="false">
      <c r="A45" s="21"/>
      <c r="B45" s="21"/>
      <c r="C45" s="21"/>
      <c r="D45" s="23"/>
      <c r="E45" s="21"/>
      <c r="F45" s="21"/>
      <c r="G45" s="23"/>
      <c r="H45" s="21"/>
      <c r="I45" s="21"/>
      <c r="J45" s="23"/>
      <c r="K45" s="22"/>
    </row>
    <row r="46" customFormat="false" ht="15" hidden="false" customHeight="true" outlineLevel="0" collapsed="false">
      <c r="A46" s="26"/>
      <c r="B46" s="26"/>
      <c r="C46" s="27"/>
      <c r="D46" s="28"/>
      <c r="E46" s="26"/>
      <c r="F46" s="26"/>
      <c r="G46" s="28"/>
      <c r="H46" s="26"/>
      <c r="I46" s="26"/>
      <c r="J46" s="28"/>
      <c r="K46" s="27"/>
    </row>
    <row r="47" customFormat="false" ht="15" hidden="false" customHeight="true" outlineLevel="0" collapsed="false">
      <c r="A47" s="21"/>
      <c r="B47" s="21"/>
      <c r="C47" s="21"/>
      <c r="D47" s="23"/>
      <c r="E47" s="21"/>
      <c r="F47" s="21"/>
      <c r="G47" s="23"/>
      <c r="H47" s="21"/>
      <c r="I47" s="21"/>
      <c r="J47" s="23"/>
      <c r="K47" s="22"/>
    </row>
    <row r="48" customFormat="false" ht="15" hidden="false" customHeight="true" outlineLevel="0" collapsed="false">
      <c r="A48" s="26"/>
      <c r="B48" s="26"/>
      <c r="C48" s="27"/>
      <c r="D48" s="28"/>
      <c r="E48" s="26"/>
      <c r="F48" s="26"/>
      <c r="G48" s="28"/>
      <c r="H48" s="26"/>
      <c r="I48" s="26"/>
      <c r="J48" s="28"/>
      <c r="K48" s="27"/>
    </row>
    <row r="49" customFormat="false" ht="15" hidden="false" customHeight="true" outlineLevel="0" collapsed="false">
      <c r="A49" s="21"/>
      <c r="B49" s="21"/>
      <c r="C49" s="21"/>
      <c r="D49" s="23"/>
      <c r="E49" s="21"/>
      <c r="F49" s="21"/>
      <c r="G49" s="23"/>
      <c r="H49" s="21"/>
      <c r="I49" s="21"/>
      <c r="J49" s="23"/>
      <c r="K49" s="22"/>
    </row>
    <row r="50" customFormat="false" ht="15" hidden="false" customHeight="true" outlineLevel="0" collapsed="false">
      <c r="A50" s="26"/>
      <c r="B50" s="26"/>
      <c r="C50" s="27"/>
      <c r="D50" s="28"/>
      <c r="E50" s="26"/>
      <c r="F50" s="26"/>
      <c r="G50" s="28"/>
      <c r="H50" s="26"/>
      <c r="I50" s="26"/>
      <c r="J50" s="28"/>
      <c r="K50" s="27"/>
    </row>
    <row r="51" customFormat="false" ht="15" hidden="false" customHeight="true" outlineLevel="0" collapsed="false">
      <c r="A51" s="21"/>
      <c r="B51" s="21"/>
      <c r="C51" s="21"/>
      <c r="D51" s="23"/>
      <c r="E51" s="21"/>
      <c r="F51" s="21"/>
      <c r="G51" s="23"/>
      <c r="H51" s="21"/>
      <c r="I51" s="21"/>
      <c r="J51" s="23"/>
      <c r="K51" s="22"/>
    </row>
    <row r="52" customFormat="false" ht="15" hidden="false" customHeight="true" outlineLevel="0" collapsed="false">
      <c r="A52" s="26"/>
      <c r="B52" s="26"/>
      <c r="C52" s="27"/>
      <c r="D52" s="28"/>
      <c r="E52" s="26"/>
      <c r="F52" s="26"/>
      <c r="G52" s="28"/>
      <c r="H52" s="26"/>
      <c r="I52" s="26"/>
      <c r="J52" s="28"/>
      <c r="K52" s="27"/>
    </row>
    <row r="53" customFormat="false" ht="15" hidden="false" customHeight="true" outlineLevel="0" collapsed="false">
      <c r="A53" s="21"/>
      <c r="B53" s="21"/>
      <c r="C53" s="21"/>
      <c r="D53" s="23"/>
      <c r="E53" s="21"/>
      <c r="F53" s="21"/>
      <c r="G53" s="23"/>
      <c r="H53" s="21"/>
      <c r="I53" s="21"/>
      <c r="J53" s="23"/>
      <c r="K53" s="22"/>
    </row>
    <row r="54" customFormat="false" ht="15" hidden="false" customHeight="true" outlineLevel="0" collapsed="false">
      <c r="A54" s="26"/>
      <c r="B54" s="26"/>
      <c r="C54" s="27"/>
      <c r="D54" s="28"/>
      <c r="E54" s="26"/>
      <c r="F54" s="26"/>
      <c r="G54" s="28"/>
      <c r="H54" s="26"/>
      <c r="I54" s="26"/>
      <c r="J54" s="28"/>
      <c r="K54" s="27"/>
    </row>
    <row r="55" customFormat="false" ht="15" hidden="false" customHeight="true" outlineLevel="0" collapsed="false">
      <c r="A55" s="21"/>
      <c r="B55" s="21"/>
      <c r="C55" s="21"/>
      <c r="D55" s="23"/>
      <c r="E55" s="21"/>
      <c r="F55" s="21"/>
      <c r="G55" s="23"/>
      <c r="H55" s="21"/>
      <c r="I55" s="21"/>
      <c r="J55" s="23"/>
      <c r="K55" s="22"/>
    </row>
    <row r="56" customFormat="false" ht="15" hidden="false" customHeight="true" outlineLevel="0" collapsed="false">
      <c r="A56" s="26"/>
      <c r="B56" s="26"/>
      <c r="C56" s="27"/>
      <c r="D56" s="28"/>
      <c r="E56" s="26"/>
      <c r="F56" s="26"/>
      <c r="G56" s="28"/>
      <c r="H56" s="26"/>
      <c r="I56" s="26"/>
      <c r="J56" s="28"/>
      <c r="K56" s="27"/>
    </row>
    <row r="57" customFormat="false" ht="15" hidden="false" customHeight="true" outlineLevel="0" collapsed="false">
      <c r="A57" s="21"/>
      <c r="B57" s="21"/>
      <c r="C57" s="21"/>
      <c r="D57" s="23"/>
      <c r="E57" s="21"/>
      <c r="F57" s="21"/>
      <c r="G57" s="23"/>
      <c r="H57" s="21"/>
      <c r="I57" s="21"/>
      <c r="J57" s="23"/>
      <c r="K57" s="22"/>
    </row>
    <row r="58" customFormat="false" ht="15" hidden="false" customHeight="true" outlineLevel="0" collapsed="false">
      <c r="A58" s="26"/>
      <c r="B58" s="26"/>
      <c r="C58" s="27"/>
      <c r="D58" s="28"/>
      <c r="E58" s="26"/>
      <c r="F58" s="26"/>
      <c r="G58" s="28"/>
      <c r="H58" s="26"/>
      <c r="I58" s="26"/>
      <c r="J58" s="28"/>
      <c r="K58" s="27"/>
    </row>
    <row r="59" customFormat="false" ht="15" hidden="false" customHeight="true" outlineLevel="0" collapsed="false">
      <c r="A59" s="21"/>
      <c r="B59" s="21"/>
      <c r="C59" s="21"/>
      <c r="D59" s="23"/>
      <c r="E59" s="21"/>
      <c r="F59" s="21"/>
      <c r="G59" s="23"/>
      <c r="H59" s="21"/>
      <c r="I59" s="21"/>
      <c r="J59" s="23"/>
      <c r="K59" s="22"/>
    </row>
    <row r="60" customFormat="false" ht="15" hidden="false" customHeight="true" outlineLevel="0" collapsed="false">
      <c r="A60" s="26"/>
      <c r="B60" s="26"/>
      <c r="C60" s="27"/>
      <c r="D60" s="28"/>
      <c r="E60" s="26"/>
      <c r="F60" s="26"/>
      <c r="G60" s="28"/>
      <c r="H60" s="26"/>
      <c r="I60" s="26"/>
      <c r="J60" s="28"/>
      <c r="K60" s="27"/>
    </row>
    <row r="61" customFormat="false" ht="15" hidden="false" customHeight="true" outlineLevel="0" collapsed="false">
      <c r="A61" s="21"/>
      <c r="B61" s="21"/>
      <c r="C61" s="21"/>
      <c r="D61" s="23"/>
      <c r="E61" s="21"/>
      <c r="F61" s="21"/>
      <c r="G61" s="23"/>
      <c r="H61" s="21"/>
      <c r="I61" s="21"/>
      <c r="J61" s="23"/>
      <c r="K61" s="22"/>
    </row>
    <row r="62" customFormat="false" ht="15" hidden="false" customHeight="true" outlineLevel="0" collapsed="false">
      <c r="A62" s="26"/>
      <c r="B62" s="26"/>
      <c r="C62" s="27"/>
      <c r="D62" s="28"/>
      <c r="E62" s="26"/>
      <c r="F62" s="26"/>
      <c r="G62" s="28"/>
      <c r="H62" s="26"/>
      <c r="I62" s="26"/>
      <c r="J62" s="28"/>
      <c r="K62" s="27"/>
    </row>
    <row r="63" customFormat="false" ht="15" hidden="false" customHeight="true" outlineLevel="0" collapsed="false">
      <c r="A63" s="21"/>
      <c r="B63" s="21"/>
      <c r="C63" s="21"/>
      <c r="D63" s="23"/>
      <c r="E63" s="21"/>
      <c r="F63" s="21"/>
      <c r="G63" s="23"/>
      <c r="H63" s="21"/>
      <c r="I63" s="21"/>
      <c r="J63" s="23"/>
      <c r="K63" s="22"/>
    </row>
    <row r="64" customFormat="false" ht="15" hidden="false" customHeight="true" outlineLevel="0" collapsed="false">
      <c r="A64" s="26"/>
      <c r="B64" s="26"/>
      <c r="C64" s="27"/>
      <c r="D64" s="28"/>
      <c r="E64" s="26"/>
      <c r="F64" s="26"/>
      <c r="G64" s="28"/>
      <c r="H64" s="26"/>
      <c r="I64" s="26"/>
      <c r="J64" s="28"/>
      <c r="K64" s="27"/>
    </row>
  </sheetData>
  <mergeCells count="2">
    <mergeCell ref="A1:K1"/>
    <mergeCell ref="A2:K2"/>
  </mergeCells>
  <dataValidations count="3">
    <dataValidation allowBlank="true" errorStyle="stop" operator="between" showDropDown="false" showErrorMessage="false" showInputMessage="false" sqref="C5:C64" type="list">
      <formula1>"공지,문의,리뷰,FAQ,1:1상담"</formula1>
      <formula2>0</formula2>
    </dataValidation>
    <dataValidation allowBlank="true" errorStyle="stop" operator="between" showDropDown="false" showErrorMessage="false" showInputMessage="false" sqref="H5:H64" type="list">
      <formula1>"대기,처리중,답변완료,-"</formula1>
      <formula2>0</formula2>
    </dataValidation>
    <dataValidation allowBlank="true" errorStyle="stop" operator="between" showDropDown="false" showErrorMessage="false" showInputMessage="false" sqref="K5:K64" type="list">
      <formula1>"공개,비공개,삭제"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3"/>
    <col collapsed="false" customWidth="true" hidden="false" outlineLevel="0" max="3" min="3" style="1" width="20"/>
    <col collapsed="false" customWidth="true" hidden="false" outlineLevel="0" max="4" min="4" style="1" width="26"/>
    <col collapsed="false" customWidth="true" hidden="false" outlineLevel="0" max="5" min="5" style="1" width="18"/>
    <col collapsed="false" customWidth="true" hidden="false" outlineLevel="0" max="6" min="6" style="1" width="9"/>
    <col collapsed="false" customWidth="true" hidden="false" outlineLevel="0" max="8" min="7" style="1" width="12"/>
    <col collapsed="false" customWidth="true" hidden="false" outlineLevel="0" max="9" min="9" style="1" width="9"/>
    <col collapsed="false" customWidth="true" hidden="false" outlineLevel="0" max="10" min="10" style="1" width="10"/>
    <col collapsed="false" customWidth="true" hidden="false" outlineLevel="0" max="11" min="11" style="1" width="9"/>
    <col collapsed="false" customWidth="true" hidden="false" outlineLevel="0" max="12" min="12" style="1" width="18"/>
  </cols>
  <sheetData>
    <row r="1" customFormat="false" ht="24" hidden="false" customHeight="true" outlineLevel="0" collapsed="false">
      <c r="A1" s="67" t="s">
        <v>310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</row>
    <row r="2" customFormat="false" ht="15.75" hidden="false" customHeight="true" outlineLevel="0" collapsed="false">
      <c r="A2" s="19" t="s">
        <v>311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4" customFormat="false" ht="15" hidden="false" customHeight="true" outlineLevel="0" collapsed="false">
      <c r="A4" s="68" t="s">
        <v>312</v>
      </c>
      <c r="B4" s="68" t="s">
        <v>313</v>
      </c>
      <c r="C4" s="68" t="s">
        <v>276</v>
      </c>
      <c r="D4" s="68" t="s">
        <v>162</v>
      </c>
      <c r="E4" s="68" t="s">
        <v>314</v>
      </c>
      <c r="F4" s="68" t="s">
        <v>80</v>
      </c>
      <c r="G4" s="68" t="s">
        <v>315</v>
      </c>
      <c r="H4" s="68" t="s">
        <v>316</v>
      </c>
      <c r="I4" s="68" t="s">
        <v>317</v>
      </c>
      <c r="J4" s="68" t="s">
        <v>318</v>
      </c>
      <c r="K4" s="68" t="s">
        <v>319</v>
      </c>
      <c r="L4" s="68" t="s">
        <v>36</v>
      </c>
    </row>
    <row r="5" customFormat="false" ht="15" hidden="false" customHeight="true" outlineLevel="0" collapsed="false">
      <c r="A5" s="21" t="s">
        <v>320</v>
      </c>
      <c r="B5" s="22" t="s">
        <v>321</v>
      </c>
      <c r="C5" s="25" t="s">
        <v>322</v>
      </c>
      <c r="D5" s="23" t="s">
        <v>323</v>
      </c>
      <c r="E5" s="23" t="s">
        <v>324</v>
      </c>
      <c r="F5" s="21" t="n">
        <v>1</v>
      </c>
      <c r="G5" s="69" t="n">
        <v>46174</v>
      </c>
      <c r="H5" s="69" t="n">
        <v>46265</v>
      </c>
      <c r="I5" s="21" t="s">
        <v>325</v>
      </c>
      <c r="J5" s="24" t="str">
        <f aca="true">IF(A5="","",IF(I5="N","중지",IF(TODAY()&lt;G5,"대기",IF(TODAY()&gt;H5,"종료","노출중"))))</f>
        <v>노출중</v>
      </c>
      <c r="K5" s="40" t="n">
        <v>1820</v>
      </c>
      <c r="L5" s="25" t="s">
        <v>326</v>
      </c>
    </row>
    <row r="6" customFormat="false" ht="15" hidden="false" customHeight="true" outlineLevel="0" collapsed="false">
      <c r="A6" s="70" t="s">
        <v>327</v>
      </c>
      <c r="B6" s="71" t="s">
        <v>328</v>
      </c>
      <c r="C6" s="72" t="s">
        <v>329</v>
      </c>
      <c r="D6" s="73" t="s">
        <v>330</v>
      </c>
      <c r="E6" s="73" t="s">
        <v>331</v>
      </c>
      <c r="F6" s="70" t="n">
        <v>2</v>
      </c>
      <c r="G6" s="74" t="n">
        <v>46143</v>
      </c>
      <c r="H6" s="74" t="n">
        <v>46387</v>
      </c>
      <c r="I6" s="70" t="s">
        <v>325</v>
      </c>
      <c r="J6" s="75" t="str">
        <f aca="true">IF(A6="","",IF(I6="N","중지",IF(TODAY()&lt;G6,"대기",IF(TODAY()&gt;H6,"종료","노출중"))))</f>
        <v>노출중</v>
      </c>
      <c r="K6" s="76" t="n">
        <v>940</v>
      </c>
      <c r="L6" s="73"/>
    </row>
    <row r="7" customFormat="false" ht="15" hidden="false" customHeight="true" outlineLevel="0" collapsed="false">
      <c r="A7" s="21" t="s">
        <v>332</v>
      </c>
      <c r="B7" s="22" t="s">
        <v>333</v>
      </c>
      <c r="C7" s="25" t="s">
        <v>334</v>
      </c>
      <c r="D7" s="23" t="s">
        <v>335</v>
      </c>
      <c r="E7" s="23" t="s">
        <v>336</v>
      </c>
      <c r="F7" s="21" t="n">
        <v>1</v>
      </c>
      <c r="G7" s="69" t="n">
        <v>46204</v>
      </c>
      <c r="H7" s="69" t="n">
        <v>46218</v>
      </c>
      <c r="I7" s="21" t="s">
        <v>325</v>
      </c>
      <c r="J7" s="24" t="str">
        <f aca="true">IF(A7="","",IF(I7="N","중지",IF(TODAY()&lt;G7,"대기",IF(TODAY()&gt;H7,"종료","노출중"))))</f>
        <v>대기</v>
      </c>
      <c r="K7" s="40" t="n">
        <v>0</v>
      </c>
      <c r="L7" s="25" t="s">
        <v>337</v>
      </c>
    </row>
    <row r="8" customFormat="false" ht="15" hidden="false" customHeight="true" outlineLevel="0" collapsed="false">
      <c r="A8" s="70" t="s">
        <v>338</v>
      </c>
      <c r="B8" s="71" t="s">
        <v>339</v>
      </c>
      <c r="C8" s="72" t="s">
        <v>340</v>
      </c>
      <c r="D8" s="73" t="s">
        <v>341</v>
      </c>
      <c r="E8" s="73" t="s">
        <v>342</v>
      </c>
      <c r="F8" s="70" t="n">
        <v>3</v>
      </c>
      <c r="G8" s="74" t="n">
        <v>45992</v>
      </c>
      <c r="H8" s="74" t="n">
        <v>46081</v>
      </c>
      <c r="I8" s="70" t="s">
        <v>325</v>
      </c>
      <c r="J8" s="75" t="str">
        <f aca="true">IF(A8="","",IF(I8="N","중지",IF(TODAY()&lt;G8,"대기",IF(TODAY()&gt;H8,"종료","노출중"))))</f>
        <v>종료</v>
      </c>
      <c r="K8" s="76" t="n">
        <v>2510</v>
      </c>
      <c r="L8" s="72" t="s">
        <v>343</v>
      </c>
    </row>
    <row r="9" customFormat="false" ht="15" hidden="false" customHeight="true" outlineLevel="0" collapsed="false">
      <c r="A9" s="21" t="s">
        <v>344</v>
      </c>
      <c r="B9" s="22" t="s">
        <v>345</v>
      </c>
      <c r="C9" s="25" t="s">
        <v>346</v>
      </c>
      <c r="D9" s="23" t="s">
        <v>347</v>
      </c>
      <c r="E9" s="23" t="s">
        <v>348</v>
      </c>
      <c r="F9" s="21" t="n">
        <v>1</v>
      </c>
      <c r="G9" s="69" t="n">
        <v>46174</v>
      </c>
      <c r="H9" s="69" t="n">
        <v>46203</v>
      </c>
      <c r="I9" s="21" t="s">
        <v>349</v>
      </c>
      <c r="J9" s="24" t="str">
        <f aca="true">IF(A9="","",IF(I9="N","중지",IF(TODAY()&lt;G9,"대기",IF(TODAY()&gt;H9,"종료","노출중"))))</f>
        <v>중지</v>
      </c>
      <c r="K9" s="40" t="n">
        <v>0</v>
      </c>
      <c r="L9" s="25" t="s">
        <v>350</v>
      </c>
    </row>
    <row r="10" customFormat="false" ht="15" hidden="false" customHeight="true" outlineLevel="0" collapsed="false">
      <c r="A10" s="70"/>
      <c r="B10" s="71"/>
      <c r="C10" s="73"/>
      <c r="D10" s="73"/>
      <c r="E10" s="73"/>
      <c r="F10" s="70"/>
      <c r="G10" s="74"/>
      <c r="H10" s="74"/>
      <c r="I10" s="70"/>
      <c r="J10" s="75" t="str">
        <f aca="true">IF(A10="","",IF(I10="N","중지",IF(TODAY()&lt;G10,"대기",IF(TODAY()&gt;H10,"종료","노출중"))))</f>
        <v/>
      </c>
      <c r="K10" s="76"/>
      <c r="L10" s="73"/>
    </row>
    <row r="11" customFormat="false" ht="15" hidden="false" customHeight="true" outlineLevel="0" collapsed="false">
      <c r="A11" s="21"/>
      <c r="B11" s="22"/>
      <c r="C11" s="23"/>
      <c r="D11" s="23"/>
      <c r="E11" s="23"/>
      <c r="F11" s="21"/>
      <c r="G11" s="69"/>
      <c r="H11" s="69"/>
      <c r="I11" s="21"/>
      <c r="J11" s="24" t="str">
        <f aca="true">IF(A11="","",IF(I11="N","중지",IF(TODAY()&lt;G11,"대기",IF(TODAY()&gt;H11,"종료","노출중"))))</f>
        <v/>
      </c>
      <c r="K11" s="40"/>
      <c r="L11" s="23"/>
    </row>
    <row r="12" customFormat="false" ht="15" hidden="false" customHeight="true" outlineLevel="0" collapsed="false">
      <c r="A12" s="70"/>
      <c r="B12" s="71"/>
      <c r="C12" s="73"/>
      <c r="D12" s="73"/>
      <c r="E12" s="73"/>
      <c r="F12" s="70"/>
      <c r="G12" s="74"/>
      <c r="H12" s="74"/>
      <c r="I12" s="70"/>
      <c r="J12" s="75" t="str">
        <f aca="true">IF(A12="","",IF(I12="N","중지",IF(TODAY()&lt;G12,"대기",IF(TODAY()&gt;H12,"종료","노출중"))))</f>
        <v/>
      </c>
      <c r="K12" s="76"/>
      <c r="L12" s="73"/>
    </row>
    <row r="13" customFormat="false" ht="15" hidden="false" customHeight="true" outlineLevel="0" collapsed="false">
      <c r="A13" s="21"/>
      <c r="B13" s="22"/>
      <c r="C13" s="23"/>
      <c r="D13" s="23"/>
      <c r="E13" s="23"/>
      <c r="F13" s="21"/>
      <c r="G13" s="69"/>
      <c r="H13" s="69"/>
      <c r="I13" s="21"/>
      <c r="J13" s="24" t="str">
        <f aca="true">IF(A13="","",IF(I13="N","중지",IF(TODAY()&lt;G13,"대기",IF(TODAY()&gt;H13,"종료","노출중"))))</f>
        <v/>
      </c>
      <c r="K13" s="40"/>
      <c r="L13" s="23"/>
    </row>
    <row r="14" customFormat="false" ht="15" hidden="false" customHeight="true" outlineLevel="0" collapsed="false">
      <c r="A14" s="70"/>
      <c r="B14" s="71"/>
      <c r="C14" s="73"/>
      <c r="D14" s="73"/>
      <c r="E14" s="73"/>
      <c r="F14" s="70"/>
      <c r="G14" s="74"/>
      <c r="H14" s="74"/>
      <c r="I14" s="70"/>
      <c r="J14" s="75" t="str">
        <f aca="true">IF(A14="","",IF(I14="N","중지",IF(TODAY()&lt;G14,"대기",IF(TODAY()&gt;H14,"종료","노출중"))))</f>
        <v/>
      </c>
      <c r="K14" s="76"/>
      <c r="L14" s="73"/>
    </row>
    <row r="15" customFormat="false" ht="15" hidden="false" customHeight="true" outlineLevel="0" collapsed="false">
      <c r="A15" s="21"/>
      <c r="B15" s="22"/>
      <c r="C15" s="23"/>
      <c r="D15" s="23"/>
      <c r="E15" s="23"/>
      <c r="F15" s="21"/>
      <c r="G15" s="69"/>
      <c r="H15" s="69"/>
      <c r="I15" s="21"/>
      <c r="J15" s="24" t="str">
        <f aca="true">IF(A15="","",IF(I15="N","중지",IF(TODAY()&lt;G15,"대기",IF(TODAY()&gt;H15,"종료","노출중"))))</f>
        <v/>
      </c>
      <c r="K15" s="40"/>
      <c r="L15" s="23"/>
    </row>
    <row r="16" customFormat="false" ht="15" hidden="false" customHeight="true" outlineLevel="0" collapsed="false">
      <c r="A16" s="70"/>
      <c r="B16" s="71"/>
      <c r="C16" s="73"/>
      <c r="D16" s="73"/>
      <c r="E16" s="73"/>
      <c r="F16" s="70"/>
      <c r="G16" s="74"/>
      <c r="H16" s="74"/>
      <c r="I16" s="70"/>
      <c r="J16" s="75" t="str">
        <f aca="true">IF(A16="","",IF(I16="N","중지",IF(TODAY()&lt;G16,"대기",IF(TODAY()&gt;H16,"종료","노출중"))))</f>
        <v/>
      </c>
      <c r="K16" s="76"/>
      <c r="L16" s="73"/>
    </row>
    <row r="17" customFormat="false" ht="15" hidden="false" customHeight="true" outlineLevel="0" collapsed="false">
      <c r="A17" s="21"/>
      <c r="B17" s="22"/>
      <c r="C17" s="23"/>
      <c r="D17" s="23"/>
      <c r="E17" s="23"/>
      <c r="F17" s="21"/>
      <c r="G17" s="69"/>
      <c r="H17" s="69"/>
      <c r="I17" s="21"/>
      <c r="J17" s="24" t="str">
        <f aca="true">IF(A17="","",IF(I17="N","중지",IF(TODAY()&lt;G17,"대기",IF(TODAY()&gt;H17,"종료","노출중"))))</f>
        <v/>
      </c>
      <c r="K17" s="40"/>
      <c r="L17" s="23"/>
    </row>
    <row r="18" customFormat="false" ht="15" hidden="false" customHeight="true" outlineLevel="0" collapsed="false">
      <c r="A18" s="70"/>
      <c r="B18" s="71"/>
      <c r="C18" s="73"/>
      <c r="D18" s="73"/>
      <c r="E18" s="73"/>
      <c r="F18" s="70"/>
      <c r="G18" s="74"/>
      <c r="H18" s="74"/>
      <c r="I18" s="70"/>
      <c r="J18" s="75" t="str">
        <f aca="true">IF(A18="","",IF(I18="N","중지",IF(TODAY()&lt;G18,"대기",IF(TODAY()&gt;H18,"종료","노출중"))))</f>
        <v/>
      </c>
      <c r="K18" s="76"/>
      <c r="L18" s="73"/>
    </row>
    <row r="19" customFormat="false" ht="15" hidden="false" customHeight="true" outlineLevel="0" collapsed="false">
      <c r="A19" s="21"/>
      <c r="B19" s="22"/>
      <c r="C19" s="23"/>
      <c r="D19" s="23"/>
      <c r="E19" s="23"/>
      <c r="F19" s="21"/>
      <c r="G19" s="69"/>
      <c r="H19" s="69"/>
      <c r="I19" s="21"/>
      <c r="J19" s="24" t="str">
        <f aca="true">IF(A19="","",IF(I19="N","중지",IF(TODAY()&lt;G19,"대기",IF(TODAY()&gt;H19,"종료","노출중"))))</f>
        <v/>
      </c>
      <c r="K19" s="40"/>
      <c r="L19" s="23"/>
    </row>
    <row r="20" customFormat="false" ht="15" hidden="false" customHeight="true" outlineLevel="0" collapsed="false">
      <c r="A20" s="70"/>
      <c r="B20" s="71"/>
      <c r="C20" s="73"/>
      <c r="D20" s="73"/>
      <c r="E20" s="73"/>
      <c r="F20" s="70"/>
      <c r="G20" s="74"/>
      <c r="H20" s="74"/>
      <c r="I20" s="70"/>
      <c r="J20" s="75" t="str">
        <f aca="true">IF(A20="","",IF(I20="N","중지",IF(TODAY()&lt;G20,"대기",IF(TODAY()&gt;H20,"종료","노출중"))))</f>
        <v/>
      </c>
      <c r="K20" s="76"/>
      <c r="L20" s="73"/>
    </row>
    <row r="21" customFormat="false" ht="15" hidden="false" customHeight="true" outlineLevel="0" collapsed="false">
      <c r="A21" s="21"/>
      <c r="B21" s="22"/>
      <c r="C21" s="23"/>
      <c r="D21" s="23"/>
      <c r="E21" s="23"/>
      <c r="F21" s="21"/>
      <c r="G21" s="69"/>
      <c r="H21" s="69"/>
      <c r="I21" s="21"/>
      <c r="J21" s="24" t="str">
        <f aca="true">IF(A21="","",IF(I21="N","중지",IF(TODAY()&lt;G21,"대기",IF(TODAY()&gt;H21,"종료","노출중"))))</f>
        <v/>
      </c>
      <c r="K21" s="40"/>
      <c r="L21" s="23"/>
    </row>
    <row r="22" customFormat="false" ht="15" hidden="false" customHeight="true" outlineLevel="0" collapsed="false">
      <c r="A22" s="70"/>
      <c r="B22" s="71"/>
      <c r="C22" s="73"/>
      <c r="D22" s="73"/>
      <c r="E22" s="73"/>
      <c r="F22" s="70"/>
      <c r="G22" s="74"/>
      <c r="H22" s="74"/>
      <c r="I22" s="70"/>
      <c r="J22" s="75" t="str">
        <f aca="true">IF(A22="","",IF(I22="N","중지",IF(TODAY()&lt;G22,"대기",IF(TODAY()&gt;H22,"종료","노출중"))))</f>
        <v/>
      </c>
      <c r="K22" s="76"/>
      <c r="L22" s="73"/>
    </row>
    <row r="23" customFormat="false" ht="15" hidden="false" customHeight="true" outlineLevel="0" collapsed="false">
      <c r="A23" s="21"/>
      <c r="B23" s="22"/>
      <c r="C23" s="23"/>
      <c r="D23" s="23"/>
      <c r="E23" s="23"/>
      <c r="F23" s="21"/>
      <c r="G23" s="69"/>
      <c r="H23" s="69"/>
      <c r="I23" s="21"/>
      <c r="J23" s="24" t="str">
        <f aca="true">IF(A23="","",IF(I23="N","중지",IF(TODAY()&lt;G23,"대기",IF(TODAY()&gt;H23,"종료","노출중"))))</f>
        <v/>
      </c>
      <c r="K23" s="40"/>
      <c r="L23" s="23"/>
    </row>
    <row r="24" customFormat="false" ht="15" hidden="false" customHeight="true" outlineLevel="0" collapsed="false">
      <c r="A24" s="70"/>
      <c r="B24" s="71"/>
      <c r="C24" s="73"/>
      <c r="D24" s="73"/>
      <c r="E24" s="73"/>
      <c r="F24" s="70"/>
      <c r="G24" s="74"/>
      <c r="H24" s="74"/>
      <c r="I24" s="70"/>
      <c r="J24" s="75" t="str">
        <f aca="true">IF(A24="","",IF(I24="N","중지",IF(TODAY()&lt;G24,"대기",IF(TODAY()&gt;H24,"종료","노출중"))))</f>
        <v/>
      </c>
      <c r="K24" s="76"/>
      <c r="L24" s="73"/>
    </row>
    <row r="25" customFormat="false" ht="15" hidden="false" customHeight="true" outlineLevel="0" collapsed="false">
      <c r="A25" s="21"/>
      <c r="B25" s="22"/>
      <c r="C25" s="23"/>
      <c r="D25" s="23"/>
      <c r="E25" s="23"/>
      <c r="F25" s="21"/>
      <c r="G25" s="69"/>
      <c r="H25" s="69"/>
      <c r="I25" s="21"/>
      <c r="J25" s="24" t="str">
        <f aca="true">IF(A25="","",IF(I25="N","중지",IF(TODAY()&lt;G25,"대기",IF(TODAY()&gt;H25,"종료","노출중"))))</f>
        <v/>
      </c>
      <c r="K25" s="40"/>
      <c r="L25" s="23"/>
    </row>
    <row r="26" customFormat="false" ht="15" hidden="false" customHeight="true" outlineLevel="0" collapsed="false">
      <c r="A26" s="70"/>
      <c r="B26" s="71"/>
      <c r="C26" s="73"/>
      <c r="D26" s="73"/>
      <c r="E26" s="73"/>
      <c r="F26" s="70"/>
      <c r="G26" s="74"/>
      <c r="H26" s="74"/>
      <c r="I26" s="70"/>
      <c r="J26" s="75" t="str">
        <f aca="true">IF(A26="","",IF(I26="N","중지",IF(TODAY()&lt;G26,"대기",IF(TODAY()&gt;H26,"종료","노출중"))))</f>
        <v/>
      </c>
      <c r="K26" s="76"/>
      <c r="L26" s="73"/>
    </row>
    <row r="27" customFormat="false" ht="15" hidden="false" customHeight="true" outlineLevel="0" collapsed="false">
      <c r="A27" s="21"/>
      <c r="B27" s="22"/>
      <c r="C27" s="23"/>
      <c r="D27" s="23"/>
      <c r="E27" s="23"/>
      <c r="F27" s="21"/>
      <c r="G27" s="69"/>
      <c r="H27" s="69"/>
      <c r="I27" s="21"/>
      <c r="J27" s="24" t="str">
        <f aca="true">IF(A27="","",IF(I27="N","중지",IF(TODAY()&lt;G27,"대기",IF(TODAY()&gt;H27,"종료","노출중"))))</f>
        <v/>
      </c>
      <c r="K27" s="40"/>
      <c r="L27" s="23"/>
    </row>
    <row r="28" customFormat="false" ht="15" hidden="false" customHeight="true" outlineLevel="0" collapsed="false">
      <c r="A28" s="70"/>
      <c r="B28" s="71"/>
      <c r="C28" s="73"/>
      <c r="D28" s="73"/>
      <c r="E28" s="73"/>
      <c r="F28" s="70"/>
      <c r="G28" s="74"/>
      <c r="H28" s="74"/>
      <c r="I28" s="70"/>
      <c r="J28" s="75" t="str">
        <f aca="true">IF(A28="","",IF(I28="N","중지",IF(TODAY()&lt;G28,"대기",IF(TODAY()&gt;H28,"종료","노출중"))))</f>
        <v/>
      </c>
      <c r="K28" s="76"/>
      <c r="L28" s="73"/>
    </row>
    <row r="29" customFormat="false" ht="15" hidden="false" customHeight="true" outlineLevel="0" collapsed="false">
      <c r="A29" s="21"/>
      <c r="B29" s="22"/>
      <c r="C29" s="23"/>
      <c r="D29" s="23"/>
      <c r="E29" s="23"/>
      <c r="F29" s="21"/>
      <c r="G29" s="69"/>
      <c r="H29" s="69"/>
      <c r="I29" s="21"/>
      <c r="J29" s="24" t="str">
        <f aca="true">IF(A29="","",IF(I29="N","중지",IF(TODAY()&lt;G29,"대기",IF(TODAY()&gt;H29,"종료","노출중"))))</f>
        <v/>
      </c>
      <c r="K29" s="40"/>
      <c r="L29" s="23"/>
    </row>
    <row r="30" customFormat="false" ht="15" hidden="false" customHeight="true" outlineLevel="0" collapsed="false">
      <c r="A30" s="70"/>
      <c r="B30" s="71"/>
      <c r="C30" s="73"/>
      <c r="D30" s="73"/>
      <c r="E30" s="73"/>
      <c r="F30" s="70"/>
      <c r="G30" s="74"/>
      <c r="H30" s="74"/>
      <c r="I30" s="70"/>
      <c r="J30" s="75" t="str">
        <f aca="true">IF(A30="","",IF(I30="N","중지",IF(TODAY()&lt;G30,"대기",IF(TODAY()&gt;H30,"종료","노출중"))))</f>
        <v/>
      </c>
      <c r="K30" s="76"/>
      <c r="L30" s="73"/>
    </row>
    <row r="31" customFormat="false" ht="15" hidden="false" customHeight="true" outlineLevel="0" collapsed="false">
      <c r="A31" s="21"/>
      <c r="B31" s="22"/>
      <c r="C31" s="23"/>
      <c r="D31" s="23"/>
      <c r="E31" s="23"/>
      <c r="F31" s="21"/>
      <c r="G31" s="69"/>
      <c r="H31" s="69"/>
      <c r="I31" s="21"/>
      <c r="J31" s="24" t="str">
        <f aca="true">IF(A31="","",IF(I31="N","중지",IF(TODAY()&lt;G31,"대기",IF(TODAY()&gt;H31,"종료","노출중"))))</f>
        <v/>
      </c>
      <c r="K31" s="40"/>
      <c r="L31" s="23"/>
    </row>
    <row r="32" customFormat="false" ht="15" hidden="false" customHeight="true" outlineLevel="0" collapsed="false">
      <c r="A32" s="70"/>
      <c r="B32" s="71"/>
      <c r="C32" s="73"/>
      <c r="D32" s="73"/>
      <c r="E32" s="73"/>
      <c r="F32" s="70"/>
      <c r="G32" s="74"/>
      <c r="H32" s="74"/>
      <c r="I32" s="70"/>
      <c r="J32" s="75" t="str">
        <f aca="true">IF(A32="","",IF(I32="N","중지",IF(TODAY()&lt;G32,"대기",IF(TODAY()&gt;H32,"종료","노출중"))))</f>
        <v/>
      </c>
      <c r="K32" s="76"/>
      <c r="L32" s="73"/>
    </row>
    <row r="33" customFormat="false" ht="15" hidden="false" customHeight="true" outlineLevel="0" collapsed="false">
      <c r="A33" s="21"/>
      <c r="B33" s="22"/>
      <c r="C33" s="23"/>
      <c r="D33" s="23"/>
      <c r="E33" s="23"/>
      <c r="F33" s="21"/>
      <c r="G33" s="69"/>
      <c r="H33" s="69"/>
      <c r="I33" s="21"/>
      <c r="J33" s="24" t="str">
        <f aca="true">IF(A33="","",IF(I33="N","중지",IF(TODAY()&lt;G33,"대기",IF(TODAY()&gt;H33,"종료","노출중"))))</f>
        <v/>
      </c>
      <c r="K33" s="40"/>
      <c r="L33" s="23"/>
    </row>
    <row r="34" customFormat="false" ht="15" hidden="false" customHeight="true" outlineLevel="0" collapsed="false">
      <c r="A34" s="70"/>
      <c r="B34" s="71"/>
      <c r="C34" s="73"/>
      <c r="D34" s="73"/>
      <c r="E34" s="73"/>
      <c r="F34" s="70"/>
      <c r="G34" s="74"/>
      <c r="H34" s="74"/>
      <c r="I34" s="70"/>
      <c r="J34" s="75" t="str">
        <f aca="true">IF(A34="","",IF(I34="N","중지",IF(TODAY()&lt;G34,"대기",IF(TODAY()&gt;H34,"종료","노출중"))))</f>
        <v/>
      </c>
      <c r="K34" s="76"/>
      <c r="L34" s="73"/>
    </row>
    <row r="35" customFormat="false" ht="15" hidden="false" customHeight="true" outlineLevel="0" collapsed="false">
      <c r="A35" s="21"/>
      <c r="B35" s="22"/>
      <c r="C35" s="23"/>
      <c r="D35" s="23"/>
      <c r="E35" s="23"/>
      <c r="F35" s="21"/>
      <c r="G35" s="69"/>
      <c r="H35" s="69"/>
      <c r="I35" s="21"/>
      <c r="J35" s="24" t="str">
        <f aca="true">IF(A35="","",IF(I35="N","중지",IF(TODAY()&lt;G35,"대기",IF(TODAY()&gt;H35,"종료","노출중"))))</f>
        <v/>
      </c>
      <c r="K35" s="40"/>
      <c r="L35" s="23"/>
    </row>
    <row r="36" customFormat="false" ht="15" hidden="false" customHeight="true" outlineLevel="0" collapsed="false">
      <c r="A36" s="70"/>
      <c r="B36" s="71"/>
      <c r="C36" s="73"/>
      <c r="D36" s="73"/>
      <c r="E36" s="73"/>
      <c r="F36" s="70"/>
      <c r="G36" s="74"/>
      <c r="H36" s="74"/>
      <c r="I36" s="70"/>
      <c r="J36" s="75" t="str">
        <f aca="true">IF(A36="","",IF(I36="N","중지",IF(TODAY()&lt;G36,"대기",IF(TODAY()&gt;H36,"종료","노출중"))))</f>
        <v/>
      </c>
      <c r="K36" s="76"/>
      <c r="L36" s="73"/>
    </row>
    <row r="37" customFormat="false" ht="15" hidden="false" customHeight="true" outlineLevel="0" collapsed="false">
      <c r="A37" s="21"/>
      <c r="B37" s="22"/>
      <c r="C37" s="23"/>
      <c r="D37" s="23"/>
      <c r="E37" s="23"/>
      <c r="F37" s="21"/>
      <c r="G37" s="69"/>
      <c r="H37" s="69"/>
      <c r="I37" s="21"/>
      <c r="J37" s="24" t="str">
        <f aca="true">IF(A37="","",IF(I37="N","중지",IF(TODAY()&lt;G37,"대기",IF(TODAY()&gt;H37,"종료","노출중"))))</f>
        <v/>
      </c>
      <c r="K37" s="40"/>
      <c r="L37" s="23"/>
    </row>
    <row r="38" customFormat="false" ht="15" hidden="false" customHeight="true" outlineLevel="0" collapsed="false">
      <c r="A38" s="70"/>
      <c r="B38" s="71"/>
      <c r="C38" s="73"/>
      <c r="D38" s="73"/>
      <c r="E38" s="73"/>
      <c r="F38" s="70"/>
      <c r="G38" s="74"/>
      <c r="H38" s="74"/>
      <c r="I38" s="70"/>
      <c r="J38" s="75" t="str">
        <f aca="true">IF(A38="","",IF(I38="N","중지",IF(TODAY()&lt;G38,"대기",IF(TODAY()&gt;H38,"종료","노출중"))))</f>
        <v/>
      </c>
      <c r="K38" s="76"/>
      <c r="L38" s="73"/>
    </row>
    <row r="39" customFormat="false" ht="15" hidden="false" customHeight="true" outlineLevel="0" collapsed="false">
      <c r="A39" s="21"/>
      <c r="B39" s="22"/>
      <c r="C39" s="23"/>
      <c r="D39" s="23"/>
      <c r="E39" s="23"/>
      <c r="F39" s="21"/>
      <c r="G39" s="69"/>
      <c r="H39" s="69"/>
      <c r="I39" s="21"/>
      <c r="J39" s="24" t="str">
        <f aca="true">IF(A39="","",IF(I39="N","중지",IF(TODAY()&lt;G39,"대기",IF(TODAY()&gt;H39,"종료","노출중"))))</f>
        <v/>
      </c>
      <c r="K39" s="40"/>
      <c r="L39" s="23"/>
    </row>
    <row r="40" customFormat="false" ht="15" hidden="false" customHeight="true" outlineLevel="0" collapsed="false">
      <c r="A40" s="70"/>
      <c r="B40" s="71"/>
      <c r="C40" s="73"/>
      <c r="D40" s="73"/>
      <c r="E40" s="73"/>
      <c r="F40" s="70"/>
      <c r="G40" s="74"/>
      <c r="H40" s="74"/>
      <c r="I40" s="70"/>
      <c r="J40" s="75" t="str">
        <f aca="true">IF(A40="","",IF(I40="N","중지",IF(TODAY()&lt;G40,"대기",IF(TODAY()&gt;H40,"종료","노출중"))))</f>
        <v/>
      </c>
      <c r="K40" s="76"/>
      <c r="L40" s="73"/>
    </row>
    <row r="41" customFormat="false" ht="15" hidden="false" customHeight="true" outlineLevel="0" collapsed="false">
      <c r="A41" s="21"/>
      <c r="B41" s="22"/>
      <c r="C41" s="23"/>
      <c r="D41" s="23"/>
      <c r="E41" s="23"/>
      <c r="F41" s="21"/>
      <c r="G41" s="69"/>
      <c r="H41" s="69"/>
      <c r="I41" s="21"/>
      <c r="J41" s="24" t="str">
        <f aca="true">IF(A41="","",IF(I41="N","중지",IF(TODAY()&lt;G41,"대기",IF(TODAY()&gt;H41,"종료","노출중"))))</f>
        <v/>
      </c>
      <c r="K41" s="40"/>
      <c r="L41" s="23"/>
    </row>
    <row r="42" customFormat="false" ht="15" hidden="false" customHeight="true" outlineLevel="0" collapsed="false">
      <c r="A42" s="70"/>
      <c r="B42" s="71"/>
      <c r="C42" s="73"/>
      <c r="D42" s="73"/>
      <c r="E42" s="73"/>
      <c r="F42" s="70"/>
      <c r="G42" s="74"/>
      <c r="H42" s="74"/>
      <c r="I42" s="70"/>
      <c r="J42" s="75" t="str">
        <f aca="true">IF(A42="","",IF(I42="N","중지",IF(TODAY()&lt;G42,"대기",IF(TODAY()&gt;H42,"종료","노출중"))))</f>
        <v/>
      </c>
      <c r="K42" s="76"/>
      <c r="L42" s="73"/>
    </row>
    <row r="43" customFormat="false" ht="15" hidden="false" customHeight="true" outlineLevel="0" collapsed="false">
      <c r="A43" s="21"/>
      <c r="B43" s="22"/>
      <c r="C43" s="23"/>
      <c r="D43" s="23"/>
      <c r="E43" s="23"/>
      <c r="F43" s="21"/>
      <c r="G43" s="69"/>
      <c r="H43" s="69"/>
      <c r="I43" s="21"/>
      <c r="J43" s="24" t="str">
        <f aca="true">IF(A43="","",IF(I43="N","중지",IF(TODAY()&lt;G43,"대기",IF(TODAY()&gt;H43,"종료","노출중"))))</f>
        <v/>
      </c>
      <c r="K43" s="40"/>
      <c r="L43" s="23"/>
    </row>
    <row r="44" customFormat="false" ht="15" hidden="false" customHeight="true" outlineLevel="0" collapsed="false">
      <c r="A44" s="70"/>
      <c r="B44" s="71"/>
      <c r="C44" s="73"/>
      <c r="D44" s="73"/>
      <c r="E44" s="73"/>
      <c r="F44" s="70"/>
      <c r="G44" s="74"/>
      <c r="H44" s="74"/>
      <c r="I44" s="70"/>
      <c r="J44" s="75" t="str">
        <f aca="true">IF(A44="","",IF(I44="N","중지",IF(TODAY()&lt;G44,"대기",IF(TODAY()&gt;H44,"종료","노출중"))))</f>
        <v/>
      </c>
      <c r="K44" s="76"/>
      <c r="L44" s="73"/>
    </row>
  </sheetData>
  <mergeCells count="2">
    <mergeCell ref="A1:L1"/>
    <mergeCell ref="A2:L2"/>
  </mergeCells>
  <dataValidations count="2">
    <dataValidation allowBlank="true" errorStyle="stop" operator="between" showDropDown="false" showErrorMessage="false" showInputMessage="false" sqref="B5:B44" type="list">
      <formula1>"메인슬라이드,메인상단,메인중단,팝업,카테고리상단,하단,기타"</formula1>
      <formula2>0</formula2>
    </dataValidation>
    <dataValidation allowBlank="true" errorStyle="stop" operator="between" showDropDown="false" showErrorMessage="false" showInputMessage="false" sqref="I5:I44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2026-06-02T05:49:31Z</dcterms:created>
  <dc:creator>openpyxl</dc:creator>
  <dc:description/>
  <dc:language>en-US</dc:language>
  <cp:lastModifiedBy/>
  <dcterms:modified xsi:type="dcterms:W3CDTF">2026-06-04T02:00:37Z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